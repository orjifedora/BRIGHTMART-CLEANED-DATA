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EE75D04C-21DD-42FC-B887-28EC796EE3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2" i="1"/>
  <c r="O3" i="1"/>
  <c r="O4" i="1"/>
  <c r="O5" i="1"/>
  <c r="O6" i="1"/>
  <c r="O7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3" i="1"/>
  <c r="P4" i="1"/>
  <c r="P5" i="1"/>
  <c r="P6" i="1"/>
  <c r="P7" i="1"/>
  <c r="P8" i="1"/>
  <c r="P9" i="1"/>
  <c r="P10" i="1"/>
  <c r="P11" i="1"/>
  <c r="P12" i="1"/>
  <c r="P2" i="1"/>
  <c r="O101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2" i="1"/>
  <c r="J7" i="1" a="1"/>
  <c r="J9" i="1" a="1"/>
  <c r="J11" i="1" a="1"/>
  <c r="J13" i="1" a="1"/>
  <c r="J15" i="1" a="1"/>
  <c r="J17" i="1" a="1"/>
  <c r="J19" i="1" a="1"/>
  <c r="J21" i="1" a="1"/>
  <c r="J23" i="1" a="1"/>
  <c r="J25" i="1" a="1"/>
  <c r="J27" i="1" a="1"/>
  <c r="J29" i="1" a="1"/>
  <c r="J31" i="1" a="1"/>
  <c r="J33" i="1" a="1"/>
  <c r="J35" i="1" a="1"/>
  <c r="J37" i="1" a="1"/>
  <c r="J39" i="1" a="1"/>
  <c r="J41" i="1" a="1"/>
  <c r="J43" i="1" a="1"/>
  <c r="J45" i="1" a="1"/>
  <c r="J47" i="1" a="1"/>
  <c r="J49" i="1" a="1"/>
  <c r="J51" i="1" a="1"/>
  <c r="J53" i="1" a="1"/>
  <c r="J55" i="1" a="1"/>
  <c r="J57" i="1" a="1"/>
  <c r="J59" i="1" a="1"/>
  <c r="J61" i="1" a="1"/>
  <c r="J63" i="1" a="1"/>
  <c r="J65" i="1" a="1"/>
  <c r="J67" i="1" a="1"/>
  <c r="J69" i="1" a="1"/>
  <c r="J71" i="1" a="1"/>
  <c r="J73" i="1" a="1"/>
  <c r="J75" i="1" a="1"/>
  <c r="J77" i="1" a="1"/>
  <c r="J79" i="1" a="1"/>
  <c r="J81" i="1" a="1"/>
  <c r="J87" i="1" a="1"/>
  <c r="J91" i="1" a="1"/>
  <c r="J97" i="1" a="1"/>
  <c r="J103" i="1" a="1"/>
  <c r="J12" i="1" a="1"/>
  <c r="J26" i="1" a="1"/>
  <c r="J34" i="1" a="1"/>
  <c r="J38" i="1" a="1"/>
  <c r="J42" i="1" a="1"/>
  <c r="J46" i="1" a="1"/>
  <c r="J50" i="1" a="1"/>
  <c r="J54" i="1" a="1"/>
  <c r="J58" i="1" a="1"/>
  <c r="J62" i="1" a="1"/>
  <c r="J66" i="1" a="1"/>
  <c r="J70" i="1" a="1"/>
  <c r="J74" i="1" a="1"/>
  <c r="J78" i="1" a="1"/>
  <c r="J82" i="1" a="1"/>
  <c r="J86" i="1" a="1"/>
  <c r="J90" i="1" a="1"/>
  <c r="J94" i="1" a="1"/>
  <c r="J98" i="1" a="1"/>
  <c r="J102" i="1" a="1"/>
  <c r="J83" i="1" a="1"/>
  <c r="J93" i="1" a="1"/>
  <c r="J99" i="1" a="1"/>
  <c r="J8" i="1" a="1"/>
  <c r="J10" i="1" a="1"/>
  <c r="J14" i="1" a="1"/>
  <c r="J16" i="1" a="1"/>
  <c r="J18" i="1" a="1"/>
  <c r="J20" i="1" a="1"/>
  <c r="J22" i="1" a="1"/>
  <c r="J24" i="1" a="1"/>
  <c r="J28" i="1" a="1"/>
  <c r="J30" i="1" a="1"/>
  <c r="J32" i="1" a="1"/>
  <c r="J36" i="1" a="1"/>
  <c r="J40" i="1" a="1"/>
  <c r="J44" i="1" a="1"/>
  <c r="J48" i="1" a="1"/>
  <c r="J52" i="1" a="1"/>
  <c r="J56" i="1" a="1"/>
  <c r="J60" i="1" a="1"/>
  <c r="J64" i="1" a="1"/>
  <c r="J68" i="1" a="1"/>
  <c r="J72" i="1" a="1"/>
  <c r="J76" i="1" a="1"/>
  <c r="J80" i="1" a="1"/>
  <c r="J84" i="1" a="1"/>
  <c r="J88" i="1" a="1"/>
  <c r="J92" i="1" a="1"/>
  <c r="J96" i="1" a="1"/>
  <c r="J100" i="1" a="1"/>
  <c r="J85" i="1" a="1"/>
  <c r="J89" i="1" a="1"/>
  <c r="J95" i="1" a="1"/>
  <c r="J101" i="1" a="1"/>
  <c r="J3" i="1" a="1"/>
  <c r="J5" i="1" a="1"/>
  <c r="J6" i="1" a="1"/>
  <c r="J4" i="1" a="1"/>
  <c r="J2" i="1" a="1"/>
  <c r="J101" i="1" l="1"/>
  <c r="X101" i="1" s="1"/>
  <c r="J95" i="1"/>
  <c r="X95" i="1" s="1"/>
  <c r="J89" i="1"/>
  <c r="X89" i="1" s="1"/>
  <c r="J85" i="1"/>
  <c r="X85" i="1" s="1"/>
  <c r="J100" i="1"/>
  <c r="X100" i="1" s="1"/>
  <c r="J96" i="1"/>
  <c r="X96" i="1" s="1"/>
  <c r="J92" i="1"/>
  <c r="X92" i="1" s="1"/>
  <c r="J88" i="1"/>
  <c r="X88" i="1" s="1"/>
  <c r="J84" i="1"/>
  <c r="X84" i="1" s="1"/>
  <c r="J80" i="1"/>
  <c r="X80" i="1" s="1"/>
  <c r="J76" i="1"/>
  <c r="X76" i="1" s="1"/>
  <c r="J72" i="1"/>
  <c r="X72" i="1" s="1"/>
  <c r="J68" i="1"/>
  <c r="X68" i="1" s="1"/>
  <c r="J64" i="1"/>
  <c r="X64" i="1" s="1"/>
  <c r="J60" i="1"/>
  <c r="X60" i="1" s="1"/>
  <c r="J56" i="1"/>
  <c r="X56" i="1" s="1"/>
  <c r="J52" i="1"/>
  <c r="X52" i="1" s="1"/>
  <c r="J48" i="1"/>
  <c r="X48" i="1" s="1"/>
  <c r="J44" i="1"/>
  <c r="X44" i="1" s="1"/>
  <c r="J40" i="1"/>
  <c r="X40" i="1" s="1"/>
  <c r="J36" i="1"/>
  <c r="X36" i="1" s="1"/>
  <c r="J32" i="1"/>
  <c r="X32" i="1" s="1"/>
  <c r="J30" i="1"/>
  <c r="X30" i="1" s="1"/>
  <c r="J28" i="1"/>
  <c r="X28" i="1" s="1"/>
  <c r="J24" i="1"/>
  <c r="X24" i="1" s="1"/>
  <c r="J22" i="1"/>
  <c r="X22" i="1" s="1"/>
  <c r="J20" i="1"/>
  <c r="X20" i="1" s="1"/>
  <c r="J18" i="1"/>
  <c r="X18" i="1" s="1"/>
  <c r="J16" i="1"/>
  <c r="X16" i="1" s="1"/>
  <c r="J14" i="1"/>
  <c r="X14" i="1" s="1"/>
  <c r="J10" i="1"/>
  <c r="X10" i="1" s="1"/>
  <c r="J8" i="1"/>
  <c r="X8" i="1" s="1"/>
  <c r="J99" i="1"/>
  <c r="X99" i="1" s="1"/>
  <c r="J93" i="1"/>
  <c r="X93" i="1" s="1"/>
  <c r="J83" i="1"/>
  <c r="X83" i="1" s="1"/>
  <c r="J102" i="1"/>
  <c r="J98" i="1"/>
  <c r="X98" i="1" s="1"/>
  <c r="J94" i="1"/>
  <c r="X94" i="1" s="1"/>
  <c r="J90" i="1"/>
  <c r="X90" i="1" s="1"/>
  <c r="J86" i="1"/>
  <c r="X86" i="1" s="1"/>
  <c r="J82" i="1"/>
  <c r="X82" i="1" s="1"/>
  <c r="J78" i="1"/>
  <c r="X78" i="1" s="1"/>
  <c r="J74" i="1"/>
  <c r="X74" i="1" s="1"/>
  <c r="J70" i="1"/>
  <c r="X70" i="1" s="1"/>
  <c r="J66" i="1"/>
  <c r="X66" i="1" s="1"/>
  <c r="J62" i="1"/>
  <c r="X62" i="1" s="1"/>
  <c r="J58" i="1"/>
  <c r="X58" i="1" s="1"/>
  <c r="J54" i="1"/>
  <c r="X54" i="1" s="1"/>
  <c r="J50" i="1"/>
  <c r="X50" i="1" s="1"/>
  <c r="J46" i="1"/>
  <c r="X46" i="1" s="1"/>
  <c r="J42" i="1"/>
  <c r="X42" i="1" s="1"/>
  <c r="J38" i="1"/>
  <c r="X38" i="1" s="1"/>
  <c r="J34" i="1"/>
  <c r="X34" i="1" s="1"/>
  <c r="J26" i="1"/>
  <c r="X26" i="1" s="1"/>
  <c r="J12" i="1"/>
  <c r="X12" i="1" s="1"/>
  <c r="J103" i="1"/>
  <c r="J97" i="1"/>
  <c r="X97" i="1" s="1"/>
  <c r="J91" i="1"/>
  <c r="X91" i="1" s="1"/>
  <c r="J87" i="1"/>
  <c r="X87" i="1" s="1"/>
  <c r="J81" i="1"/>
  <c r="X81" i="1" s="1"/>
  <c r="J79" i="1"/>
  <c r="X79" i="1" s="1"/>
  <c r="J77" i="1"/>
  <c r="X77" i="1" s="1"/>
  <c r="J75" i="1"/>
  <c r="X75" i="1" s="1"/>
  <c r="J73" i="1"/>
  <c r="X73" i="1" s="1"/>
  <c r="J71" i="1"/>
  <c r="X71" i="1" s="1"/>
  <c r="J69" i="1"/>
  <c r="X69" i="1" s="1"/>
  <c r="J67" i="1"/>
  <c r="X67" i="1" s="1"/>
  <c r="J65" i="1"/>
  <c r="X65" i="1" s="1"/>
  <c r="J63" i="1"/>
  <c r="X63" i="1" s="1"/>
  <c r="J61" i="1"/>
  <c r="X61" i="1" s="1"/>
  <c r="J59" i="1"/>
  <c r="X59" i="1" s="1"/>
  <c r="J57" i="1"/>
  <c r="X57" i="1" s="1"/>
  <c r="J55" i="1"/>
  <c r="X55" i="1" s="1"/>
  <c r="J53" i="1"/>
  <c r="X53" i="1" s="1"/>
  <c r="J51" i="1"/>
  <c r="X51" i="1" s="1"/>
  <c r="J49" i="1"/>
  <c r="X49" i="1" s="1"/>
  <c r="J47" i="1"/>
  <c r="X47" i="1" s="1"/>
  <c r="J45" i="1"/>
  <c r="X45" i="1" s="1"/>
  <c r="J43" i="1"/>
  <c r="X43" i="1" s="1"/>
  <c r="J41" i="1"/>
  <c r="X41" i="1" s="1"/>
  <c r="J39" i="1"/>
  <c r="X39" i="1" s="1"/>
  <c r="J37" i="1"/>
  <c r="X37" i="1" s="1"/>
  <c r="J35" i="1"/>
  <c r="X35" i="1" s="1"/>
  <c r="J33" i="1"/>
  <c r="X33" i="1" s="1"/>
  <c r="J31" i="1"/>
  <c r="X31" i="1" s="1"/>
  <c r="J29" i="1"/>
  <c r="X29" i="1" s="1"/>
  <c r="J27" i="1"/>
  <c r="X27" i="1" s="1"/>
  <c r="J25" i="1"/>
  <c r="X25" i="1" s="1"/>
  <c r="J23" i="1"/>
  <c r="X23" i="1" s="1"/>
  <c r="J21" i="1"/>
  <c r="X21" i="1" s="1"/>
  <c r="J19" i="1"/>
  <c r="X19" i="1" s="1"/>
  <c r="J17" i="1"/>
  <c r="X17" i="1" s="1"/>
  <c r="J15" i="1"/>
  <c r="X15" i="1" s="1"/>
  <c r="J13" i="1"/>
  <c r="X13" i="1" s="1"/>
  <c r="J11" i="1"/>
  <c r="X11" i="1" s="1"/>
  <c r="J9" i="1"/>
  <c r="X9" i="1" s="1"/>
  <c r="J7" i="1"/>
  <c r="X7" i="1" s="1"/>
  <c r="J4" i="1"/>
  <c r="X4" i="1" s="1"/>
  <c r="J6" i="1"/>
  <c r="X6" i="1" s="1"/>
  <c r="J5" i="1"/>
  <c r="X5" i="1" s="1"/>
  <c r="J3" i="1"/>
  <c r="X3" i="1" s="1"/>
  <c r="J2" i="1"/>
  <c r="X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<sst xmlns="http://schemas.openxmlformats.org/spreadsheetml/2006/main" count="724" uniqueCount="183">
  <si>
    <t>Customer Info</t>
  </si>
  <si>
    <t>Purchase Date</t>
  </si>
  <si>
    <t>Product</t>
  </si>
  <si>
    <t>Total Amount</t>
  </si>
  <si>
    <t>Discount</t>
  </si>
  <si>
    <t>Status</t>
  </si>
  <si>
    <t>Miss. Chidi Ijeoma – 08057491795</t>
  </si>
  <si>
    <t>Miss. Peter Ojo – 08196925170</t>
  </si>
  <si>
    <t>Miss. Paul Usman – 08051830388</t>
  </si>
  <si>
    <t>Mrs. Amina Taiwo – 08043738261</t>
  </si>
  <si>
    <t>Dr. Faith Lawal – 08041433147</t>
  </si>
  <si>
    <t>Mr. Paul Ade – 09079776434</t>
  </si>
  <si>
    <t>Mrs. Halima Yusuf – 08126759824</t>
  </si>
  <si>
    <t>Mr. Paul Ali – 07071042802</t>
  </si>
  <si>
    <t>Miss. Joseph Ijeoma – 08012825840</t>
  </si>
  <si>
    <t>Miss. Funke Okon – 09007142106</t>
  </si>
  <si>
    <t>Mr. Hassan Eze – 09076374307</t>
  </si>
  <si>
    <t>Mrs. Ruth Ojo – 08028513609</t>
  </si>
  <si>
    <t>Mrs. Paul Musa – 07008460282</t>
  </si>
  <si>
    <t>Miss. Emeka Olawale – 07067192220</t>
  </si>
  <si>
    <t>Miss. Ada Ali – 07036412038</t>
  </si>
  <si>
    <t>Mrs. Ruth Johnson – 08185165081</t>
  </si>
  <si>
    <t>Dr. Amina Adewale – 07056611946</t>
  </si>
  <si>
    <t>Mrs. Chidi Okafor – 09086668265</t>
  </si>
  <si>
    <t>Dr. Ada Taiwo – 07062620665</t>
  </si>
  <si>
    <t>Mrs. Grace Ade – 08038761618</t>
  </si>
  <si>
    <t>Miss. Grace Olatunji – 07019048978</t>
  </si>
  <si>
    <t>Mrs. Amina Ali – 09072227082</t>
  </si>
  <si>
    <t>Mrs. Chidi Ojo – 09093611565</t>
  </si>
  <si>
    <t>Miss. Joseph Adewale – 08042614139</t>
  </si>
  <si>
    <t>Dr. Halima Olatunji – 09047585745</t>
  </si>
  <si>
    <t>Miss. Tunde Adewale – 08129643972</t>
  </si>
  <si>
    <t>Mrs. Bola Ojo – 07081606386</t>
  </si>
  <si>
    <t>Mrs. Halima Johnson – 08169728529</t>
  </si>
  <si>
    <t>Mrs. Joy Afolabi – 08167231149</t>
  </si>
  <si>
    <t>Mr. Faith Taiwo – 09093824066</t>
  </si>
  <si>
    <t>Miss. Tunde Ojo – 07086987888</t>
  </si>
  <si>
    <t>Dr. Faith Ojo – 08185958296</t>
  </si>
  <si>
    <t>Mrs. Ada Balogun – 08152223676</t>
  </si>
  <si>
    <t>Dr. John Okon – 08130175708</t>
  </si>
  <si>
    <t>Mr. John Johnson – 07001482357</t>
  </si>
  <si>
    <t>Miss. Joseph Olatunji – 07040672684</t>
  </si>
  <si>
    <t>Dr. Funke Okafor – 07014125688</t>
  </si>
  <si>
    <t>Mr. Michael Okon – 09071137900</t>
  </si>
  <si>
    <t>Dr. Grace Okafor – 09069396181</t>
  </si>
  <si>
    <t>Mr. Emeka Ade – 08019900057</t>
  </si>
  <si>
    <t>Dr. Emeka Balogun – 08121676112</t>
  </si>
  <si>
    <t>Mrs. Hassan Ade – 07000863074</t>
  </si>
  <si>
    <t>Miss. Peter Afolabi – 08170250091</t>
  </si>
  <si>
    <t>Mr. Peter Agbo – 07063668440</t>
  </si>
  <si>
    <t>Mr. Chidi Agbo – 09053193454</t>
  </si>
  <si>
    <t>Mr. Funke Eze – 07016161876</t>
  </si>
  <si>
    <t>Mrs. Michael Ijeoma – 08141125667</t>
  </si>
  <si>
    <t>Mrs. John Afolabi – 08037538283</t>
  </si>
  <si>
    <t>Dr. Chidi Eze – 08141236872</t>
  </si>
  <si>
    <t>Mrs. Halima Olawale – 07083372683</t>
  </si>
  <si>
    <t>Miss. Mary Lawal – 08147406706</t>
  </si>
  <si>
    <t>Mr. Chidi Afolabi – 07020946861</t>
  </si>
  <si>
    <t>Dr. Halima Adewale – 09055088197</t>
  </si>
  <si>
    <t>Miss. Peter Usman – 08057657648</t>
  </si>
  <si>
    <t>Dr. Mary Okon – 08160934846</t>
  </si>
  <si>
    <t>Miss. Peter Johnson – 07095261979</t>
  </si>
  <si>
    <t>Mrs. Hassan Yusuf – 09066583074</t>
  </si>
  <si>
    <t>Mrs. Joy Ijeoma – 08047342033</t>
  </si>
  <si>
    <t>Dr. John Ade – 07050098400</t>
  </si>
  <si>
    <t>Dr. Ada Yusuf – 09025204180</t>
  </si>
  <si>
    <t>Miss. Grace Afolabi – 08035230069</t>
  </si>
  <si>
    <t>Mr. Ruth Agbo – 07061768523</t>
  </si>
  <si>
    <t>Dr. Bola Adewale – 08122010279</t>
  </si>
  <si>
    <t>Mrs. Bola Ade – 08046222503</t>
  </si>
  <si>
    <t>Mrs. Hassan Ali – 07026404533</t>
  </si>
  <si>
    <t>Mrs. Grace Olatunji – 07014306550</t>
  </si>
  <si>
    <t>Dr. Joseph Ade – 09039944255</t>
  </si>
  <si>
    <t>Miss. Faith Okafor – 09009772542</t>
  </si>
  <si>
    <t>Mr. Peter Musa – 07061686372</t>
  </si>
  <si>
    <t>Miss. Faith Ali – 08086470678</t>
  </si>
  <si>
    <t>Mrs. Hassan Balogun – 08039760574</t>
  </si>
  <si>
    <t>Miss. Funke Ojo – 08055004476</t>
  </si>
  <si>
    <t>Mr. Joseph Taiwo – 08188244427</t>
  </si>
  <si>
    <t>Miss. Emeka Johnson – 07059505442</t>
  </si>
  <si>
    <t>Miss. Grace Taiwo – 08100760502</t>
  </si>
  <si>
    <t>Miss. Faith Yusuf – 08166355560</t>
  </si>
  <si>
    <t>Mrs. Chidi Yusuf – 08056286063</t>
  </si>
  <si>
    <t>Mr. Halima Balogun – 08115471429</t>
  </si>
  <si>
    <t>Mr. Chidi Afolabi – 08052617901</t>
  </si>
  <si>
    <t>Miss. Joseph Afolabi – 07017649882</t>
  </si>
  <si>
    <t>Miss. Joseph Agbo – 08141245498</t>
  </si>
  <si>
    <t>Dr. Paul Ade – 08119473665</t>
  </si>
  <si>
    <t>Mr. Bola Lawal – 09023493647</t>
  </si>
  <si>
    <t>Dr. Joseph Agbo – 08167990832</t>
  </si>
  <si>
    <t>Dr. Paul Ade – 09097326549</t>
  </si>
  <si>
    <t>Mr. Peter Okafor – 07021693691</t>
  </si>
  <si>
    <t>Dr. Ruth Johnson – 08077931286</t>
  </si>
  <si>
    <t>Miss. Faith Ojo – 09063218189</t>
  </si>
  <si>
    <t>Miss. John Adewale – 09056660380</t>
  </si>
  <si>
    <t>Miss. Peter Lawal – 07085037176</t>
  </si>
  <si>
    <t>Mr. Emeka Lawal – 08030356304</t>
  </si>
  <si>
    <t>Mr. Ruth Yusuf – 09062258856</t>
  </si>
  <si>
    <t>Mr. Funke Agbo – 09020748210</t>
  </si>
  <si>
    <t>Mrs. Halima Balogun – 07047116296</t>
  </si>
  <si>
    <t>Mrs. Ada Ijeoma – 08189640475</t>
  </si>
  <si>
    <t>Mr. Joseph Agbo – 08029518580</t>
  </si>
  <si>
    <t>Miss. Peter Lawal – 08004500962</t>
  </si>
  <si>
    <t>Mr. Hassan Ijeoma – 08073663964</t>
  </si>
  <si>
    <t>Mrs. Bola Yusuf – 08005383180</t>
  </si>
  <si>
    <t>Standing Fan</t>
  </si>
  <si>
    <t>Washing Machine</t>
  </si>
  <si>
    <t>Toaster</t>
  </si>
  <si>
    <t>Microwave</t>
  </si>
  <si>
    <t>Iron</t>
  </si>
  <si>
    <t>Blender</t>
  </si>
  <si>
    <t>Gas Cooker</t>
  </si>
  <si>
    <t>Ceiling Fan</t>
  </si>
  <si>
    <t>Electric Kettle</t>
  </si>
  <si>
    <t>Refrigerator</t>
  </si>
  <si>
    <t>10%</t>
  </si>
  <si>
    <t>20%</t>
  </si>
  <si>
    <t>5%</t>
  </si>
  <si>
    <t>0%</t>
  </si>
  <si>
    <t>15%</t>
  </si>
  <si>
    <t>Returned</t>
  </si>
  <si>
    <t>Pending</t>
  </si>
  <si>
    <t>Delivered</t>
  </si>
  <si>
    <t>Mrs.</t>
  </si>
  <si>
    <t>Chidi</t>
  </si>
  <si>
    <t>Lawal</t>
  </si>
  <si>
    <t>Miss.</t>
  </si>
  <si>
    <t>Ijeoma</t>
  </si>
  <si>
    <t>Peter</t>
  </si>
  <si>
    <t>Ojo</t>
  </si>
  <si>
    <t>Paul</t>
  </si>
  <si>
    <t>Usman</t>
  </si>
  <si>
    <t>Amina</t>
  </si>
  <si>
    <t>Taiwo</t>
  </si>
  <si>
    <t>Dr.</t>
  </si>
  <si>
    <t>Faith</t>
  </si>
  <si>
    <t>Mr.</t>
  </si>
  <si>
    <t>Ade</t>
  </si>
  <si>
    <t>Halima</t>
  </si>
  <si>
    <t>Yusuf</t>
  </si>
  <si>
    <t>Ali</t>
  </si>
  <si>
    <t>Joseph</t>
  </si>
  <si>
    <t>Funke</t>
  </si>
  <si>
    <t>Okon</t>
  </si>
  <si>
    <t>Hassan</t>
  </si>
  <si>
    <t>Eze</t>
  </si>
  <si>
    <t>Ruth</t>
  </si>
  <si>
    <t>Musa</t>
  </si>
  <si>
    <t>Emeka</t>
  </si>
  <si>
    <t>Olawale</t>
  </si>
  <si>
    <t>Ada</t>
  </si>
  <si>
    <t>Johnson</t>
  </si>
  <si>
    <t>Adewale</t>
  </si>
  <si>
    <t>Okafor</t>
  </si>
  <si>
    <t>Grace</t>
  </si>
  <si>
    <t>Olatunji</t>
  </si>
  <si>
    <t>Tunde</t>
  </si>
  <si>
    <t>Bola</t>
  </si>
  <si>
    <t>Joy</t>
  </si>
  <si>
    <t>Afolabi</t>
  </si>
  <si>
    <t>Balogun</t>
  </si>
  <si>
    <t>John</t>
  </si>
  <si>
    <t>Michael</t>
  </si>
  <si>
    <t>Agbo</t>
  </si>
  <si>
    <t>Mary</t>
  </si>
  <si>
    <t>TITLE</t>
  </si>
  <si>
    <t xml:space="preserve">FULL NAME </t>
  </si>
  <si>
    <t>PHONE NUMBER</t>
  </si>
  <si>
    <t xml:space="preserve">Mrs. Chidi Lawal – 08034522731 </t>
  </si>
  <si>
    <t>PROPER FUNCTION</t>
  </si>
  <si>
    <t>PRODUCT</t>
  </si>
  <si>
    <t>SUBSITUTE</t>
  </si>
  <si>
    <t>YEAR</t>
  </si>
  <si>
    <t>MONTH</t>
  </si>
  <si>
    <t>DAY</t>
  </si>
  <si>
    <t>Purchase Month Name</t>
  </si>
  <si>
    <t>Quarter Purchased</t>
  </si>
  <si>
    <t>Discount Flag</t>
  </si>
  <si>
    <t>Final Amount</t>
  </si>
  <si>
    <t>Status Check</t>
  </si>
  <si>
    <t>Premium Sale</t>
  </si>
  <si>
    <t>Customer Tag</t>
  </si>
  <si>
    <t>Summary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</si>
</sst>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₦-466]\ * #,##0.00_-;\-[$₦-466]\ * #,##0.00_-;_-[$₦-46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4" fontId="0" fillId="0" borderId="0" xfId="0" applyNumberFormat="1"/>
    <xf numFmtId="0" fontId="2" fillId="0" borderId="0" xfId="0" applyFon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8"/>
  <sheetViews>
    <sheetView tabSelected="1" topLeftCell="P1" workbookViewId="0">
      <selection activeCell="D1" sqref="D1:D1048576"/>
    </sheetView>
  </sheetViews>
  <sheetFormatPr defaultRowHeight="15" x14ac:dyDescent="0.25"/>
  <cols>
    <col min="1" max="1" width="34.140625" bestFit="1" customWidth="1"/>
    <col min="2" max="2" width="15" customWidth="1"/>
    <col min="3" max="3" width="16.7109375" bestFit="1" customWidth="1"/>
    <col min="4" max="4" width="13.5703125" style="6" bestFit="1" customWidth="1"/>
    <col min="7" max="7" width="9.5703125" bestFit="1" customWidth="1"/>
    <col min="8" max="8" width="11.5703125" bestFit="1" customWidth="1"/>
    <col min="10" max="10" width="15.5703125" bestFit="1" customWidth="1"/>
    <col min="11" max="11" width="34.140625" bestFit="1" customWidth="1"/>
    <col min="12" max="12" width="18.85546875" bestFit="1" customWidth="1"/>
    <col min="14" max="14" width="33" bestFit="1" customWidth="1"/>
    <col min="18" max="18" width="21.5703125" bestFit="1" customWidth="1"/>
    <col min="19" max="19" width="17.7109375" bestFit="1" customWidth="1"/>
    <col min="20" max="20" width="12.7109375" bestFit="1" customWidth="1"/>
    <col min="21" max="21" width="12.85546875" bestFit="1" customWidth="1"/>
    <col min="22" max="22" width="12.140625" bestFit="1" customWidth="1"/>
    <col min="23" max="23" width="13.42578125" bestFit="1" customWidth="1"/>
    <col min="24" max="24" width="23.140625" bestFit="1" customWidth="1"/>
    <col min="25" max="25" width="86.140625" bestFit="1" customWidth="1"/>
  </cols>
  <sheetData>
    <row r="1" spans="1:25" s="2" customFormat="1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2" t="s">
        <v>165</v>
      </c>
      <c r="H1" s="2" t="s">
        <v>166</v>
      </c>
      <c r="J1" s="2" t="s">
        <v>167</v>
      </c>
      <c r="K1" s="2" t="s">
        <v>169</v>
      </c>
      <c r="L1" s="2" t="s">
        <v>170</v>
      </c>
      <c r="M1" s="2" t="s">
        <v>165</v>
      </c>
      <c r="N1" s="2" t="s">
        <v>171</v>
      </c>
      <c r="O1" s="2" t="s">
        <v>172</v>
      </c>
      <c r="P1" s="2" t="s">
        <v>173</v>
      </c>
      <c r="Q1" s="2" t="s">
        <v>174</v>
      </c>
      <c r="R1" s="2" t="s">
        <v>175</v>
      </c>
      <c r="S1" s="2" t="s">
        <v>176</v>
      </c>
      <c r="T1" s="2" t="s">
        <v>177</v>
      </c>
      <c r="U1" s="2" t="s">
        <v>178</v>
      </c>
      <c r="V1" s="2" t="s">
        <v>179</v>
      </c>
      <c r="W1" s="2" t="s">
        <v>180</v>
      </c>
      <c r="X1" s="2" t="s">
        <v>181</v>
      </c>
      <c r="Y1" s="2" t="s">
        <v>182</v>
      </c>
    </row>
    <row r="2" spans="1:25" x14ac:dyDescent="0.25">
      <c r="A2" t="s">
        <v>168</v>
      </c>
      <c r="B2" s="3">
        <v>45604</v>
      </c>
      <c r="C2" t="s">
        <v>105</v>
      </c>
      <c r="D2" s="6">
        <v>17525</v>
      </c>
      <c r="E2" t="s">
        <v>115</v>
      </c>
      <c r="F2" t="s">
        <v>120</v>
      </c>
      <c r="G2" t="s">
        <v>123</v>
      </c>
      <c r="H2" t="s">
        <v>124</v>
      </c>
      <c r="I2" t="s">
        <v>125</v>
      </c>
      <c r="J2" t="str" cm="1">
        <f t="array" aca="1" ref="J2" ca="1">_xlfn.TEXTJOIN("", TRUE, IF(ISNUMBER(--MID(A2, ROW(INDIRECT("1:" &amp; LEN(A2))), 1)), MID(A2, ROW(INDIRECT("1:" &amp; LEN(A2))), 1), ""))</f>
        <v>08034522731</v>
      </c>
      <c r="K2" t="str">
        <f>PROPER(A2)</f>
        <v xml:space="preserve">Mrs. Chidi Lawal – 08034522731 </v>
      </c>
      <c r="L2" t="str">
        <f>UPPER(C2)</f>
        <v>STANDING FAN</v>
      </c>
      <c r="M2" t="str">
        <f>LOWER(G2)</f>
        <v>mrs.</v>
      </c>
      <c r="N2" t="str">
        <f>SUBSTITUTE(K2, "–", "")</f>
        <v xml:space="preserve">Mrs. Chidi Lawal  08034522731 </v>
      </c>
      <c r="O2">
        <f>YEAR(B2)</f>
        <v>2024</v>
      </c>
      <c r="P2">
        <f>MONTH(B2)</f>
        <v>11</v>
      </c>
      <c r="Q2">
        <f>DAY(B2)</f>
        <v>8</v>
      </c>
      <c r="R2" s="4" t="str">
        <f>TEXT(B2, "mmmm")</f>
        <v>November</v>
      </c>
      <c r="S2" t="str">
        <f>IF(MONTH(B2) &lt;= 3, "Q1",
IF(MONTH(B2) &lt;= 6, "Q2",
IF(MONTH(B2) &lt;= 9, "Q3", "Q4")))</f>
        <v>Q4</v>
      </c>
      <c r="T2" t="str">
        <f>IF(E2 &gt; 0, "Yes", "No")</f>
        <v>Yes</v>
      </c>
      <c r="U2">
        <f>D2 - (D2 * (E2/100))</f>
        <v>17507.474999999999</v>
      </c>
      <c r="V2" t="str">
        <f>IF(OR(F2="Delivered", F2="Returned"), "Processed", "Pending")</f>
        <v>Processed</v>
      </c>
      <c r="W2" t="str">
        <f>IF(AND(U2 &gt; 50000, E2 &gt;= 10), "Premium", "Regular")</f>
        <v>Regular</v>
      </c>
      <c r="X2" t="str">
        <f ca="1">CONCATENATE(M2, " ", H2, " (", J2, ")")</f>
        <v>mrs. Chidi (08034522731)</v>
      </c>
      <c r="Y2" t="str">
        <f>"Dear "&amp;M2&amp;" "&amp;H2&amp;" "&amp;I2&amp;", your purchase of "&amp;C2&amp;" worth ₦ "&amp;U2&amp;" is "&amp;V2</f>
        <v>Dear mrs. Chidi Lawal, your purchase of Standing Fan worth ₦ 17507.475 is Processed</v>
      </c>
    </row>
    <row r="3" spans="1:25" x14ac:dyDescent="0.25">
      <c r="A3" t="s">
        <v>6</v>
      </c>
      <c r="B3" s="3">
        <v>45477</v>
      </c>
      <c r="C3" t="s">
        <v>106</v>
      </c>
      <c r="D3" s="6">
        <v>164207</v>
      </c>
      <c r="E3" t="s">
        <v>116</v>
      </c>
      <c r="F3" t="s">
        <v>121</v>
      </c>
      <c r="G3" t="s">
        <v>126</v>
      </c>
      <c r="H3" t="s">
        <v>124</v>
      </c>
      <c r="I3" t="s">
        <v>127</v>
      </c>
      <c r="J3" t="str" cm="1">
        <f t="array" aca="1" ref="J3" ca="1">_xlfn.TEXTJOIN("", TRUE, IF(ISNUMBER(--MID(A3, ROW(INDIRECT("1:" &amp; LEN(A3))), 1)), MID(A3, ROW(INDIRECT("1:" &amp; LEN(A3))), 1), ""))</f>
        <v>08057491795</v>
      </c>
      <c r="K3" t="str">
        <f t="shared" ref="K3:K66" si="0">PROPER(A3)</f>
        <v>Miss. Chidi Ijeoma – 08057491795</v>
      </c>
      <c r="L3" t="str">
        <f t="shared" ref="L3:L66" si="1">UPPER(C3)</f>
        <v>WASHING MACHINE</v>
      </c>
      <c r="M3" t="str">
        <f t="shared" ref="M3:M66" si="2">LOWER(G3)</f>
        <v>miss.</v>
      </c>
      <c r="N3" t="str">
        <f t="shared" ref="N3:N66" si="3">SUBSTITUTE(K3, "–", "")</f>
        <v>Miss. Chidi Ijeoma  08057491795</v>
      </c>
      <c r="O3">
        <f t="shared" ref="O3:O7" si="4">YEAR(B3)</f>
        <v>2024</v>
      </c>
      <c r="P3">
        <f t="shared" ref="P3:P66" si="5">MONTH(B3)</f>
        <v>7</v>
      </c>
      <c r="Q3">
        <f t="shared" ref="Q3:Q66" si="6">DAY(B3)</f>
        <v>4</v>
      </c>
      <c r="R3" s="4" t="str">
        <f t="shared" ref="R3:R66" si="7">TEXT(B3, "mmmm")</f>
        <v>July</v>
      </c>
      <c r="S3" t="str">
        <f t="shared" ref="S3:S66" si="8">IF(MONTH(B3) &lt;= 3, "Q1",
IF(MONTH(B3) &lt;= 6, "Q2",
IF(MONTH(B3) &lt;= 9, "Q3", "Q4")))</f>
        <v>Q3</v>
      </c>
      <c r="T3" t="str">
        <f t="shared" ref="T3:T66" si="9">IF(E3 &gt; 0, "Yes", "No")</f>
        <v>Yes</v>
      </c>
      <c r="U3">
        <f t="shared" ref="U3:U66" si="10">D3 - (D3 * (E3/100))</f>
        <v>163878.58600000001</v>
      </c>
      <c r="V3" t="str">
        <f t="shared" ref="V3:V66" si="11">IF(OR(F3="Delivered", F3="Returned"), "Processed", "Pending")</f>
        <v>Pending</v>
      </c>
      <c r="W3" t="str">
        <f t="shared" ref="W3:W66" si="12">IF(AND(U3 &gt; 50000, E3 &gt;= 10), "Premium", "Regular")</f>
        <v>Premium</v>
      </c>
      <c r="X3" t="str">
        <f t="shared" ref="X3:X66" ca="1" si="13">CONCATENATE(M3, " ", H3, " (", J3, ")")</f>
        <v>miss. Chidi (08057491795)</v>
      </c>
      <c r="Y3" t="str">
        <f t="shared" ref="Y3:Y66" si="14">"Dear "&amp;M3&amp;" "&amp;H3&amp;" "&amp;I3&amp;", your purchase of "&amp;C3&amp;" worth ₦ "&amp;U3&amp;" is "&amp;V3</f>
        <v>Dear miss. Chidi Ijeoma, your purchase of Washing Machine worth ₦ 163878.586 is Pending</v>
      </c>
    </row>
    <row r="4" spans="1:25" x14ac:dyDescent="0.25">
      <c r="A4" t="s">
        <v>7</v>
      </c>
      <c r="B4" s="3">
        <v>45372</v>
      </c>
      <c r="C4" t="s">
        <v>105</v>
      </c>
      <c r="D4" s="6">
        <v>23630</v>
      </c>
      <c r="E4" t="s">
        <v>116</v>
      </c>
      <c r="F4" t="s">
        <v>122</v>
      </c>
      <c r="G4" t="s">
        <v>126</v>
      </c>
      <c r="H4" t="s">
        <v>128</v>
      </c>
      <c r="I4" t="s">
        <v>129</v>
      </c>
      <c r="J4" t="str" cm="1">
        <f t="array" aca="1" ref="J4" ca="1">_xlfn.TEXTJOIN("", TRUE, IF(ISNUMBER(--MID(A4, ROW(INDIRECT("1:" &amp; LEN(A4))), 1)), MID(A4, ROW(INDIRECT("1:" &amp; LEN(A4))), 1), ""))</f>
        <v>08196925170</v>
      </c>
      <c r="K4" t="str">
        <f t="shared" si="0"/>
        <v>Miss. Peter Ojo – 08196925170</v>
      </c>
      <c r="L4" t="str">
        <f t="shared" si="1"/>
        <v>STANDING FAN</v>
      </c>
      <c r="M4" t="str">
        <f t="shared" si="2"/>
        <v>miss.</v>
      </c>
      <c r="N4" t="str">
        <f t="shared" si="3"/>
        <v>Miss. Peter Ojo  08196925170</v>
      </c>
      <c r="O4">
        <f t="shared" si="4"/>
        <v>2024</v>
      </c>
      <c r="P4">
        <f t="shared" si="5"/>
        <v>3</v>
      </c>
      <c r="Q4">
        <f t="shared" si="6"/>
        <v>21</v>
      </c>
      <c r="R4" s="4" t="str">
        <f t="shared" si="7"/>
        <v>March</v>
      </c>
      <c r="S4" t="str">
        <f t="shared" si="8"/>
        <v>Q1</v>
      </c>
      <c r="T4" t="str">
        <f t="shared" si="9"/>
        <v>Yes</v>
      </c>
      <c r="U4">
        <f t="shared" si="10"/>
        <v>23582.74</v>
      </c>
      <c r="V4" t="str">
        <f t="shared" si="11"/>
        <v>Processed</v>
      </c>
      <c r="W4" t="str">
        <f t="shared" si="12"/>
        <v>Regular</v>
      </c>
      <c r="X4" t="str">
        <f t="shared" ca="1" si="13"/>
        <v>miss. Peter (08196925170)</v>
      </c>
      <c r="Y4" t="str">
        <f t="shared" si="14"/>
        <v>Dear miss. Peter Ojo, your purchase of Standing Fan worth ₦ 23582.74 is Processed</v>
      </c>
    </row>
    <row r="5" spans="1:25" x14ac:dyDescent="0.25">
      <c r="A5" t="s">
        <v>8</v>
      </c>
      <c r="B5" s="3">
        <v>45554</v>
      </c>
      <c r="C5" t="s">
        <v>107</v>
      </c>
      <c r="D5" s="6">
        <v>197601</v>
      </c>
      <c r="E5" t="s">
        <v>117</v>
      </c>
      <c r="F5" t="s">
        <v>120</v>
      </c>
      <c r="G5" t="s">
        <v>126</v>
      </c>
      <c r="H5" t="s">
        <v>130</v>
      </c>
      <c r="I5" t="s">
        <v>131</v>
      </c>
      <c r="J5" t="str" cm="1">
        <f t="array" aca="1" ref="J5" ca="1">_xlfn.TEXTJOIN("", TRUE, IF(ISNUMBER(--MID(A5, ROW(INDIRECT("1:" &amp; LEN(A5))), 1)), MID(A5, ROW(INDIRECT("1:" &amp; LEN(A5))), 1), ""))</f>
        <v>08051830388</v>
      </c>
      <c r="K5" t="str">
        <f t="shared" si="0"/>
        <v>Miss. Paul Usman – 08051830388</v>
      </c>
      <c r="L5" t="str">
        <f t="shared" si="1"/>
        <v>TOASTER</v>
      </c>
      <c r="M5" t="str">
        <f t="shared" si="2"/>
        <v>miss.</v>
      </c>
      <c r="N5" t="str">
        <f t="shared" si="3"/>
        <v>Miss. Paul Usman  08051830388</v>
      </c>
      <c r="O5">
        <f t="shared" si="4"/>
        <v>2024</v>
      </c>
      <c r="P5">
        <f t="shared" si="5"/>
        <v>9</v>
      </c>
      <c r="Q5">
        <f t="shared" si="6"/>
        <v>19</v>
      </c>
      <c r="R5" s="4" t="str">
        <f t="shared" si="7"/>
        <v>September</v>
      </c>
      <c r="S5" t="str">
        <f t="shared" si="8"/>
        <v>Q3</v>
      </c>
      <c r="T5" t="str">
        <f t="shared" si="9"/>
        <v>Yes</v>
      </c>
      <c r="U5">
        <f t="shared" si="10"/>
        <v>197502.19949999999</v>
      </c>
      <c r="V5" t="str">
        <f t="shared" si="11"/>
        <v>Processed</v>
      </c>
      <c r="W5" t="str">
        <f t="shared" si="12"/>
        <v>Premium</v>
      </c>
      <c r="X5" t="str">
        <f t="shared" ca="1" si="13"/>
        <v>miss. Paul (08051830388)</v>
      </c>
      <c r="Y5" t="str">
        <f t="shared" si="14"/>
        <v>Dear miss. Paul Usman, your purchase of Toaster worth ₦ 197502.1995 is Processed</v>
      </c>
    </row>
    <row r="6" spans="1:25" x14ac:dyDescent="0.25">
      <c r="A6" t="s">
        <v>9</v>
      </c>
      <c r="B6" s="3">
        <v>45585</v>
      </c>
      <c r="C6" t="s">
        <v>107</v>
      </c>
      <c r="D6" s="6">
        <v>16923</v>
      </c>
      <c r="E6" t="s">
        <v>115</v>
      </c>
      <c r="F6" t="s">
        <v>120</v>
      </c>
      <c r="G6" t="s">
        <v>123</v>
      </c>
      <c r="H6" t="s">
        <v>132</v>
      </c>
      <c r="I6" t="s">
        <v>133</v>
      </c>
      <c r="J6" t="str" cm="1">
        <f t="array" aca="1" ref="J6" ca="1">_xlfn.TEXTJOIN("", TRUE, IF(ISNUMBER(--MID(A6, ROW(INDIRECT("1:" &amp; LEN(A6))), 1)), MID(A6, ROW(INDIRECT("1:" &amp; LEN(A6))), 1), ""))</f>
        <v>08043738261</v>
      </c>
      <c r="K6" t="str">
        <f t="shared" si="0"/>
        <v>Mrs. Amina Taiwo – 08043738261</v>
      </c>
      <c r="L6" t="str">
        <f t="shared" si="1"/>
        <v>TOASTER</v>
      </c>
      <c r="M6" t="str">
        <f t="shared" si="2"/>
        <v>mrs.</v>
      </c>
      <c r="N6" t="str">
        <f t="shared" si="3"/>
        <v>Mrs. Amina Taiwo  08043738261</v>
      </c>
      <c r="O6">
        <f t="shared" si="4"/>
        <v>2024</v>
      </c>
      <c r="P6">
        <f t="shared" si="5"/>
        <v>10</v>
      </c>
      <c r="Q6">
        <f t="shared" si="6"/>
        <v>20</v>
      </c>
      <c r="R6" s="4" t="str">
        <f t="shared" si="7"/>
        <v>October</v>
      </c>
      <c r="S6" t="str">
        <f t="shared" si="8"/>
        <v>Q4</v>
      </c>
      <c r="T6" t="str">
        <f t="shared" si="9"/>
        <v>Yes</v>
      </c>
      <c r="U6">
        <f t="shared" si="10"/>
        <v>16906.077000000001</v>
      </c>
      <c r="V6" t="str">
        <f t="shared" si="11"/>
        <v>Processed</v>
      </c>
      <c r="W6" t="str">
        <f t="shared" si="12"/>
        <v>Regular</v>
      </c>
      <c r="X6" t="str">
        <f t="shared" ca="1" si="13"/>
        <v>mrs. Amina (08043738261)</v>
      </c>
      <c r="Y6" t="str">
        <f t="shared" si="14"/>
        <v>Dear mrs. Amina Taiwo, your purchase of Toaster worth ₦ 16906.077 is Processed</v>
      </c>
    </row>
    <row r="7" spans="1:25" x14ac:dyDescent="0.25">
      <c r="A7" t="s">
        <v>10</v>
      </c>
      <c r="B7" s="3">
        <v>45530</v>
      </c>
      <c r="C7" t="s">
        <v>108</v>
      </c>
      <c r="D7" s="6">
        <v>62179</v>
      </c>
      <c r="E7" t="s">
        <v>117</v>
      </c>
      <c r="F7" t="s">
        <v>120</v>
      </c>
      <c r="G7" t="s">
        <v>134</v>
      </c>
      <c r="H7" t="s">
        <v>135</v>
      </c>
      <c r="I7" t="s">
        <v>125</v>
      </c>
      <c r="J7" t="str" cm="1">
        <f t="array" aca="1" ref="J7" ca="1">_xlfn.TEXTJOIN("", TRUE, IF(ISNUMBER(--MID(A7, ROW(INDIRECT("1:" &amp; LEN(A7))), 1)), MID(A7, ROW(INDIRECT("1:" &amp; LEN(A7))), 1), ""))</f>
        <v>08041433147</v>
      </c>
      <c r="K7" t="str">
        <f t="shared" si="0"/>
        <v>Dr. Faith Lawal – 08041433147</v>
      </c>
      <c r="L7" t="str">
        <f t="shared" si="1"/>
        <v>MICROWAVE</v>
      </c>
      <c r="M7" t="str">
        <f t="shared" si="2"/>
        <v>dr.</v>
      </c>
      <c r="N7" t="str">
        <f t="shared" si="3"/>
        <v>Dr. Faith Lawal  08041433147</v>
      </c>
      <c r="O7">
        <f t="shared" si="4"/>
        <v>2024</v>
      </c>
      <c r="P7">
        <f t="shared" si="5"/>
        <v>8</v>
      </c>
      <c r="Q7">
        <f t="shared" si="6"/>
        <v>26</v>
      </c>
      <c r="R7" s="4" t="str">
        <f t="shared" si="7"/>
        <v>August</v>
      </c>
      <c r="S7" t="str">
        <f t="shared" si="8"/>
        <v>Q3</v>
      </c>
      <c r="T7" t="str">
        <f t="shared" si="9"/>
        <v>Yes</v>
      </c>
      <c r="U7">
        <f t="shared" si="10"/>
        <v>62147.910499999998</v>
      </c>
      <c r="V7" t="str">
        <f t="shared" si="11"/>
        <v>Processed</v>
      </c>
      <c r="W7" t="str">
        <f t="shared" si="12"/>
        <v>Premium</v>
      </c>
      <c r="X7" t="str">
        <f t="shared" ca="1" si="13"/>
        <v>dr. Faith (08041433147)</v>
      </c>
      <c r="Y7" t="str">
        <f t="shared" si="14"/>
        <v>Dear dr. Faith Lawal, your purchase of Microwave worth ₦ 62147.9105 is Processed</v>
      </c>
    </row>
    <row r="8" spans="1:25" x14ac:dyDescent="0.25">
      <c r="A8" t="s">
        <v>11</v>
      </c>
      <c r="B8" s="3">
        <v>45607</v>
      </c>
      <c r="C8" t="s">
        <v>109</v>
      </c>
      <c r="D8" s="6">
        <v>158061</v>
      </c>
      <c r="E8" t="s">
        <v>116</v>
      </c>
      <c r="F8" t="s">
        <v>120</v>
      </c>
      <c r="G8" t="s">
        <v>136</v>
      </c>
      <c r="H8" t="s">
        <v>130</v>
      </c>
      <c r="I8" t="s">
        <v>137</v>
      </c>
      <c r="J8" t="str" cm="1">
        <f t="array" aca="1" ref="J8" ca="1">_xlfn.TEXTJOIN("", TRUE, IF(ISNUMBER(--MID(A8, ROW(INDIRECT("1:" &amp; LEN(A8))), 1)), MID(A8, ROW(INDIRECT("1:" &amp; LEN(A8))), 1), ""))</f>
        <v>09079776434</v>
      </c>
      <c r="K8" t="str">
        <f t="shared" si="0"/>
        <v>Mr. Paul Ade – 09079776434</v>
      </c>
      <c r="L8" t="str">
        <f t="shared" si="1"/>
        <v>IRON</v>
      </c>
      <c r="M8" t="str">
        <f t="shared" si="2"/>
        <v>mr.</v>
      </c>
      <c r="N8" t="str">
        <f t="shared" si="3"/>
        <v>Mr. Paul Ade  09079776434</v>
      </c>
      <c r="O8">
        <f t="shared" ref="O3:O66" si="15">YEAR(B8)</f>
        <v>2024</v>
      </c>
      <c r="P8">
        <f t="shared" si="5"/>
        <v>11</v>
      </c>
      <c r="Q8">
        <f t="shared" si="6"/>
        <v>11</v>
      </c>
      <c r="R8" s="4" t="str">
        <f t="shared" si="7"/>
        <v>November</v>
      </c>
      <c r="S8" t="str">
        <f t="shared" si="8"/>
        <v>Q4</v>
      </c>
      <c r="T8" t="str">
        <f t="shared" si="9"/>
        <v>Yes</v>
      </c>
      <c r="U8">
        <f t="shared" si="10"/>
        <v>157744.878</v>
      </c>
      <c r="V8" t="str">
        <f t="shared" si="11"/>
        <v>Processed</v>
      </c>
      <c r="W8" t="str">
        <f t="shared" si="12"/>
        <v>Premium</v>
      </c>
      <c r="X8" t="str">
        <f t="shared" ca="1" si="13"/>
        <v>mr. Paul (09079776434)</v>
      </c>
      <c r="Y8" t="str">
        <f t="shared" si="14"/>
        <v>Dear mr. Paul Ade, your purchase of Iron worth ₦ 157744.878 is Processed</v>
      </c>
    </row>
    <row r="9" spans="1:25" x14ac:dyDescent="0.25">
      <c r="A9" t="s">
        <v>12</v>
      </c>
      <c r="B9" s="3">
        <v>45563</v>
      </c>
      <c r="C9" t="s">
        <v>110</v>
      </c>
      <c r="D9" s="6">
        <v>155266</v>
      </c>
      <c r="E9" t="s">
        <v>115</v>
      </c>
      <c r="F9" t="s">
        <v>121</v>
      </c>
      <c r="G9" t="s">
        <v>123</v>
      </c>
      <c r="H9" t="s">
        <v>138</v>
      </c>
      <c r="I9" t="s">
        <v>139</v>
      </c>
      <c r="J9" t="str" cm="1">
        <f t="array" aca="1" ref="J9" ca="1">_xlfn.TEXTJOIN("", TRUE, IF(ISNUMBER(--MID(A9, ROW(INDIRECT("1:" &amp; LEN(A9))), 1)), MID(A9, ROW(INDIRECT("1:" &amp; LEN(A9))), 1), ""))</f>
        <v>08126759824</v>
      </c>
      <c r="K9" t="str">
        <f t="shared" si="0"/>
        <v>Mrs. Halima Yusuf – 08126759824</v>
      </c>
      <c r="L9" t="str">
        <f t="shared" si="1"/>
        <v>BLENDER</v>
      </c>
      <c r="M9" t="str">
        <f t="shared" si="2"/>
        <v>mrs.</v>
      </c>
      <c r="N9" t="str">
        <f t="shared" si="3"/>
        <v>Mrs. Halima Yusuf  08126759824</v>
      </c>
      <c r="O9">
        <f t="shared" si="15"/>
        <v>2024</v>
      </c>
      <c r="P9">
        <f t="shared" si="5"/>
        <v>9</v>
      </c>
      <c r="Q9">
        <f t="shared" si="6"/>
        <v>28</v>
      </c>
      <c r="R9" s="4" t="str">
        <f t="shared" si="7"/>
        <v>September</v>
      </c>
      <c r="S9" t="str">
        <f t="shared" si="8"/>
        <v>Q3</v>
      </c>
      <c r="T9" t="str">
        <f t="shared" si="9"/>
        <v>Yes</v>
      </c>
      <c r="U9">
        <f t="shared" si="10"/>
        <v>155110.734</v>
      </c>
      <c r="V9" t="str">
        <f t="shared" si="11"/>
        <v>Pending</v>
      </c>
      <c r="W9" t="str">
        <f t="shared" si="12"/>
        <v>Premium</v>
      </c>
      <c r="X9" t="str">
        <f t="shared" ca="1" si="13"/>
        <v>mrs. Halima (08126759824)</v>
      </c>
      <c r="Y9" t="str">
        <f t="shared" si="14"/>
        <v>Dear mrs. Halima Yusuf, your purchase of Blender worth ₦ 155110.734 is Pending</v>
      </c>
    </row>
    <row r="10" spans="1:25" x14ac:dyDescent="0.25">
      <c r="A10" t="s">
        <v>13</v>
      </c>
      <c r="B10" s="3">
        <v>45504</v>
      </c>
      <c r="C10" t="s">
        <v>110</v>
      </c>
      <c r="D10" s="6">
        <v>134739</v>
      </c>
      <c r="E10" t="s">
        <v>116</v>
      </c>
      <c r="F10" t="s">
        <v>120</v>
      </c>
      <c r="G10" t="s">
        <v>136</v>
      </c>
      <c r="H10" t="s">
        <v>130</v>
      </c>
      <c r="I10" t="s">
        <v>140</v>
      </c>
      <c r="J10" t="str" cm="1">
        <f t="array" aca="1" ref="J10" ca="1">_xlfn.TEXTJOIN("", TRUE, IF(ISNUMBER(--MID(A10, ROW(INDIRECT("1:" &amp; LEN(A10))), 1)), MID(A10, ROW(INDIRECT("1:" &amp; LEN(A10))), 1), ""))</f>
        <v>07071042802</v>
      </c>
      <c r="K10" t="str">
        <f t="shared" si="0"/>
        <v>Mr. Paul Ali – 07071042802</v>
      </c>
      <c r="L10" t="str">
        <f t="shared" si="1"/>
        <v>BLENDER</v>
      </c>
      <c r="M10" t="str">
        <f t="shared" si="2"/>
        <v>mr.</v>
      </c>
      <c r="N10" t="str">
        <f t="shared" si="3"/>
        <v>Mr. Paul Ali  07071042802</v>
      </c>
      <c r="O10">
        <f t="shared" si="15"/>
        <v>2024</v>
      </c>
      <c r="P10">
        <f t="shared" si="5"/>
        <v>7</v>
      </c>
      <c r="Q10">
        <f t="shared" si="6"/>
        <v>31</v>
      </c>
      <c r="R10" s="4" t="str">
        <f t="shared" si="7"/>
        <v>July</v>
      </c>
      <c r="S10" t="str">
        <f t="shared" si="8"/>
        <v>Q3</v>
      </c>
      <c r="T10" t="str">
        <f t="shared" si="9"/>
        <v>Yes</v>
      </c>
      <c r="U10">
        <f t="shared" si="10"/>
        <v>134469.522</v>
      </c>
      <c r="V10" t="str">
        <f t="shared" si="11"/>
        <v>Processed</v>
      </c>
      <c r="W10" t="str">
        <f t="shared" si="12"/>
        <v>Premium</v>
      </c>
      <c r="X10" t="str">
        <f t="shared" ca="1" si="13"/>
        <v>mr. Paul (07071042802)</v>
      </c>
      <c r="Y10" t="str">
        <f t="shared" si="14"/>
        <v>Dear mr. Paul Ali, your purchase of Blender worth ₦ 134469.522 is Processed</v>
      </c>
    </row>
    <row r="11" spans="1:25" x14ac:dyDescent="0.25">
      <c r="A11" t="s">
        <v>14</v>
      </c>
      <c r="B11" s="3">
        <v>45587</v>
      </c>
      <c r="C11" t="s">
        <v>111</v>
      </c>
      <c r="D11" s="6">
        <v>88585</v>
      </c>
      <c r="E11" t="s">
        <v>116</v>
      </c>
      <c r="F11" t="s">
        <v>122</v>
      </c>
      <c r="G11" t="s">
        <v>126</v>
      </c>
      <c r="H11" t="s">
        <v>141</v>
      </c>
      <c r="I11" t="s">
        <v>127</v>
      </c>
      <c r="J11" t="str" cm="1">
        <f t="array" aca="1" ref="J11" ca="1">_xlfn.TEXTJOIN("", TRUE, IF(ISNUMBER(--MID(A11, ROW(INDIRECT("1:" &amp; LEN(A11))), 1)), MID(A11, ROW(INDIRECT("1:" &amp; LEN(A11))), 1), ""))</f>
        <v>08012825840</v>
      </c>
      <c r="K11" t="str">
        <f t="shared" si="0"/>
        <v>Miss. Joseph Ijeoma – 08012825840</v>
      </c>
      <c r="L11" t="str">
        <f t="shared" si="1"/>
        <v>GAS COOKER</v>
      </c>
      <c r="M11" t="str">
        <f t="shared" si="2"/>
        <v>miss.</v>
      </c>
      <c r="N11" t="str">
        <f t="shared" si="3"/>
        <v>Miss. Joseph Ijeoma  08012825840</v>
      </c>
      <c r="O11">
        <f t="shared" si="15"/>
        <v>2024</v>
      </c>
      <c r="P11">
        <f t="shared" si="5"/>
        <v>10</v>
      </c>
      <c r="Q11">
        <f t="shared" si="6"/>
        <v>22</v>
      </c>
      <c r="R11" s="4" t="str">
        <f t="shared" si="7"/>
        <v>October</v>
      </c>
      <c r="S11" t="str">
        <f t="shared" si="8"/>
        <v>Q4</v>
      </c>
      <c r="T11" t="str">
        <f t="shared" si="9"/>
        <v>Yes</v>
      </c>
      <c r="U11">
        <f t="shared" si="10"/>
        <v>88407.83</v>
      </c>
      <c r="V11" t="str">
        <f t="shared" si="11"/>
        <v>Processed</v>
      </c>
      <c r="W11" t="str">
        <f t="shared" si="12"/>
        <v>Premium</v>
      </c>
      <c r="X11" t="str">
        <f t="shared" ca="1" si="13"/>
        <v>miss. Joseph (08012825840)</v>
      </c>
      <c r="Y11" t="str">
        <f t="shared" si="14"/>
        <v>Dear miss. Joseph Ijeoma, your purchase of Gas Cooker worth ₦ 88407.83 is Processed</v>
      </c>
    </row>
    <row r="12" spans="1:25" x14ac:dyDescent="0.25">
      <c r="A12" t="s">
        <v>15</v>
      </c>
      <c r="B12" s="3">
        <v>45371</v>
      </c>
      <c r="C12" t="s">
        <v>105</v>
      </c>
      <c r="D12" s="6">
        <v>158657</v>
      </c>
      <c r="E12" t="s">
        <v>115</v>
      </c>
      <c r="F12" t="s">
        <v>122</v>
      </c>
      <c r="G12" t="s">
        <v>126</v>
      </c>
      <c r="H12" t="s">
        <v>142</v>
      </c>
      <c r="I12" t="s">
        <v>143</v>
      </c>
      <c r="J12" t="str" cm="1">
        <f t="array" aca="1" ref="J12" ca="1">_xlfn.TEXTJOIN("", TRUE, IF(ISNUMBER(--MID(A12, ROW(INDIRECT("1:" &amp; LEN(A12))), 1)), MID(A12, ROW(INDIRECT("1:" &amp; LEN(A12))), 1), ""))</f>
        <v>09007142106</v>
      </c>
      <c r="K12" t="str">
        <f t="shared" si="0"/>
        <v>Miss. Funke Okon – 09007142106</v>
      </c>
      <c r="L12" t="str">
        <f t="shared" si="1"/>
        <v>STANDING FAN</v>
      </c>
      <c r="M12" t="str">
        <f t="shared" si="2"/>
        <v>miss.</v>
      </c>
      <c r="N12" t="str">
        <f t="shared" si="3"/>
        <v>Miss. Funke Okon  09007142106</v>
      </c>
      <c r="O12">
        <f t="shared" si="15"/>
        <v>2024</v>
      </c>
      <c r="P12">
        <f t="shared" si="5"/>
        <v>3</v>
      </c>
      <c r="Q12">
        <f t="shared" si="6"/>
        <v>20</v>
      </c>
      <c r="R12" s="4" t="str">
        <f t="shared" si="7"/>
        <v>March</v>
      </c>
      <c r="S12" t="str">
        <f t="shared" si="8"/>
        <v>Q1</v>
      </c>
      <c r="T12" t="str">
        <f t="shared" si="9"/>
        <v>Yes</v>
      </c>
      <c r="U12">
        <f t="shared" si="10"/>
        <v>158498.34299999999</v>
      </c>
      <c r="V12" t="str">
        <f t="shared" si="11"/>
        <v>Processed</v>
      </c>
      <c r="W12" t="str">
        <f t="shared" si="12"/>
        <v>Premium</v>
      </c>
      <c r="X12" t="str">
        <f t="shared" ca="1" si="13"/>
        <v>miss. Funke (09007142106)</v>
      </c>
      <c r="Y12" t="str">
        <f t="shared" si="14"/>
        <v>Dear miss. Funke Okon, your purchase of Standing Fan worth ₦ 158498.343 is Processed</v>
      </c>
    </row>
    <row r="13" spans="1:25" x14ac:dyDescent="0.25">
      <c r="A13" t="s">
        <v>16</v>
      </c>
      <c r="B13" s="3">
        <v>45571</v>
      </c>
      <c r="C13" t="s">
        <v>109</v>
      </c>
      <c r="D13" s="6">
        <v>179012</v>
      </c>
      <c r="E13" t="s">
        <v>118</v>
      </c>
      <c r="F13" t="s">
        <v>122</v>
      </c>
      <c r="G13" t="s">
        <v>136</v>
      </c>
      <c r="H13" t="s">
        <v>144</v>
      </c>
      <c r="I13" t="s">
        <v>145</v>
      </c>
      <c r="J13" t="str" cm="1">
        <f t="array" aca="1" ref="J13" ca="1">_xlfn.TEXTJOIN("", TRUE, IF(ISNUMBER(--MID(A13, ROW(INDIRECT("1:" &amp; LEN(A13))), 1)), MID(A13, ROW(INDIRECT("1:" &amp; LEN(A13))), 1), ""))</f>
        <v>09076374307</v>
      </c>
      <c r="K13" t="str">
        <f t="shared" si="0"/>
        <v>Mr. Hassan Eze – 09076374307</v>
      </c>
      <c r="L13" t="str">
        <f t="shared" si="1"/>
        <v>IRON</v>
      </c>
      <c r="M13" t="str">
        <f t="shared" si="2"/>
        <v>mr.</v>
      </c>
      <c r="N13" t="str">
        <f t="shared" si="3"/>
        <v>Mr. Hassan Eze  09076374307</v>
      </c>
      <c r="O13">
        <f t="shared" si="15"/>
        <v>2024</v>
      </c>
      <c r="P13">
        <f t="shared" si="5"/>
        <v>10</v>
      </c>
      <c r="Q13">
        <f t="shared" si="6"/>
        <v>6</v>
      </c>
      <c r="R13" s="4" t="str">
        <f t="shared" si="7"/>
        <v>October</v>
      </c>
      <c r="S13" t="str">
        <f t="shared" si="8"/>
        <v>Q4</v>
      </c>
      <c r="T13" t="str">
        <f t="shared" si="9"/>
        <v>Yes</v>
      </c>
      <c r="U13">
        <f t="shared" si="10"/>
        <v>179012</v>
      </c>
      <c r="V13" t="str">
        <f t="shared" si="11"/>
        <v>Processed</v>
      </c>
      <c r="W13" t="str">
        <f t="shared" si="12"/>
        <v>Premium</v>
      </c>
      <c r="X13" t="str">
        <f t="shared" ca="1" si="13"/>
        <v>mr. Hassan (09076374307)</v>
      </c>
      <c r="Y13" t="str">
        <f t="shared" si="14"/>
        <v>Dear mr. Hassan Eze, your purchase of Iron worth ₦ 179012 is Processed</v>
      </c>
    </row>
    <row r="14" spans="1:25" x14ac:dyDescent="0.25">
      <c r="A14" t="s">
        <v>17</v>
      </c>
      <c r="B14" s="3">
        <v>45554</v>
      </c>
      <c r="C14" t="s">
        <v>112</v>
      </c>
      <c r="D14" s="6">
        <v>41149</v>
      </c>
      <c r="E14" t="s">
        <v>116</v>
      </c>
      <c r="F14" t="s">
        <v>120</v>
      </c>
      <c r="G14" t="s">
        <v>123</v>
      </c>
      <c r="H14" t="s">
        <v>146</v>
      </c>
      <c r="I14" t="s">
        <v>129</v>
      </c>
      <c r="J14" t="str" cm="1">
        <f t="array" aca="1" ref="J14" ca="1">_xlfn.TEXTJOIN("", TRUE, IF(ISNUMBER(--MID(A14, ROW(INDIRECT("1:" &amp; LEN(A14))), 1)), MID(A14, ROW(INDIRECT("1:" &amp; LEN(A14))), 1), ""))</f>
        <v>08028513609</v>
      </c>
      <c r="K14" t="str">
        <f t="shared" si="0"/>
        <v>Mrs. Ruth Ojo – 08028513609</v>
      </c>
      <c r="L14" t="str">
        <f t="shared" si="1"/>
        <v>CEILING FAN</v>
      </c>
      <c r="M14" t="str">
        <f t="shared" si="2"/>
        <v>mrs.</v>
      </c>
      <c r="N14" t="str">
        <f t="shared" si="3"/>
        <v>Mrs. Ruth Ojo  08028513609</v>
      </c>
      <c r="O14">
        <f t="shared" si="15"/>
        <v>2024</v>
      </c>
      <c r="P14">
        <f t="shared" si="5"/>
        <v>9</v>
      </c>
      <c r="Q14">
        <f t="shared" si="6"/>
        <v>19</v>
      </c>
      <c r="R14" s="4" t="str">
        <f t="shared" si="7"/>
        <v>September</v>
      </c>
      <c r="S14" t="str">
        <f t="shared" si="8"/>
        <v>Q3</v>
      </c>
      <c r="T14" t="str">
        <f t="shared" si="9"/>
        <v>Yes</v>
      </c>
      <c r="U14">
        <f t="shared" si="10"/>
        <v>41066.701999999997</v>
      </c>
      <c r="V14" t="str">
        <f t="shared" si="11"/>
        <v>Processed</v>
      </c>
      <c r="W14" t="str">
        <f t="shared" si="12"/>
        <v>Regular</v>
      </c>
      <c r="X14" t="str">
        <f t="shared" ca="1" si="13"/>
        <v>mrs. Ruth (08028513609)</v>
      </c>
      <c r="Y14" t="str">
        <f t="shared" si="14"/>
        <v>Dear mrs. Ruth Ojo, your purchase of Ceiling Fan worth ₦ 41066.702 is Processed</v>
      </c>
    </row>
    <row r="15" spans="1:25" x14ac:dyDescent="0.25">
      <c r="A15" t="s">
        <v>18</v>
      </c>
      <c r="B15" s="3">
        <v>45607</v>
      </c>
      <c r="C15" t="s">
        <v>110</v>
      </c>
      <c r="D15" s="6">
        <v>191950</v>
      </c>
      <c r="E15" t="s">
        <v>116</v>
      </c>
      <c r="F15" t="s">
        <v>122</v>
      </c>
      <c r="G15" t="s">
        <v>123</v>
      </c>
      <c r="H15" t="s">
        <v>130</v>
      </c>
      <c r="I15" t="s">
        <v>147</v>
      </c>
      <c r="J15" t="str" cm="1">
        <f t="array" aca="1" ref="J15" ca="1">_xlfn.TEXTJOIN("", TRUE, IF(ISNUMBER(--MID(A15, ROW(INDIRECT("1:" &amp; LEN(A15))), 1)), MID(A15, ROW(INDIRECT("1:" &amp; LEN(A15))), 1), ""))</f>
        <v>07008460282</v>
      </c>
      <c r="K15" t="str">
        <f t="shared" si="0"/>
        <v>Mrs. Paul Musa – 07008460282</v>
      </c>
      <c r="L15" t="str">
        <f t="shared" si="1"/>
        <v>BLENDER</v>
      </c>
      <c r="M15" t="str">
        <f t="shared" si="2"/>
        <v>mrs.</v>
      </c>
      <c r="N15" t="str">
        <f t="shared" si="3"/>
        <v>Mrs. Paul Musa  07008460282</v>
      </c>
      <c r="O15">
        <f t="shared" si="15"/>
        <v>2024</v>
      </c>
      <c r="P15">
        <f t="shared" si="5"/>
        <v>11</v>
      </c>
      <c r="Q15">
        <f t="shared" si="6"/>
        <v>11</v>
      </c>
      <c r="R15" s="4" t="str">
        <f t="shared" si="7"/>
        <v>November</v>
      </c>
      <c r="S15" t="str">
        <f t="shared" si="8"/>
        <v>Q4</v>
      </c>
      <c r="T15" t="str">
        <f t="shared" si="9"/>
        <v>Yes</v>
      </c>
      <c r="U15">
        <f t="shared" si="10"/>
        <v>191566.1</v>
      </c>
      <c r="V15" t="str">
        <f t="shared" si="11"/>
        <v>Processed</v>
      </c>
      <c r="W15" t="str">
        <f t="shared" si="12"/>
        <v>Premium</v>
      </c>
      <c r="X15" t="str">
        <f t="shared" ca="1" si="13"/>
        <v>mrs. Paul (07008460282)</v>
      </c>
      <c r="Y15" t="str">
        <f t="shared" si="14"/>
        <v>Dear mrs. Paul Musa, your purchase of Blender worth ₦ 191566.1 is Processed</v>
      </c>
    </row>
    <row r="16" spans="1:25" x14ac:dyDescent="0.25">
      <c r="A16" t="s">
        <v>19</v>
      </c>
      <c r="B16" s="3">
        <v>45333</v>
      </c>
      <c r="C16" t="s">
        <v>111</v>
      </c>
      <c r="D16" s="6">
        <v>81594</v>
      </c>
      <c r="E16" t="s">
        <v>118</v>
      </c>
      <c r="F16" t="s">
        <v>120</v>
      </c>
      <c r="G16" t="s">
        <v>126</v>
      </c>
      <c r="H16" t="s">
        <v>148</v>
      </c>
      <c r="I16" t="s">
        <v>149</v>
      </c>
      <c r="J16" t="str" cm="1">
        <f t="array" aca="1" ref="J16" ca="1">_xlfn.TEXTJOIN("", TRUE, IF(ISNUMBER(--MID(A16, ROW(INDIRECT("1:" &amp; LEN(A16))), 1)), MID(A16, ROW(INDIRECT("1:" &amp; LEN(A16))), 1), ""))</f>
        <v>07067192220</v>
      </c>
      <c r="K16" t="str">
        <f t="shared" si="0"/>
        <v>Miss. Emeka Olawale – 07067192220</v>
      </c>
      <c r="L16" t="str">
        <f t="shared" si="1"/>
        <v>GAS COOKER</v>
      </c>
      <c r="M16" t="str">
        <f t="shared" si="2"/>
        <v>miss.</v>
      </c>
      <c r="N16" t="str">
        <f t="shared" si="3"/>
        <v>Miss. Emeka Olawale  07067192220</v>
      </c>
      <c r="O16">
        <f t="shared" si="15"/>
        <v>2024</v>
      </c>
      <c r="P16">
        <f t="shared" si="5"/>
        <v>2</v>
      </c>
      <c r="Q16">
        <f t="shared" si="6"/>
        <v>11</v>
      </c>
      <c r="R16" s="4" t="str">
        <f t="shared" si="7"/>
        <v>February</v>
      </c>
      <c r="S16" t="str">
        <f t="shared" si="8"/>
        <v>Q1</v>
      </c>
      <c r="T16" t="str">
        <f t="shared" si="9"/>
        <v>Yes</v>
      </c>
      <c r="U16">
        <f t="shared" si="10"/>
        <v>81594</v>
      </c>
      <c r="V16" t="str">
        <f t="shared" si="11"/>
        <v>Processed</v>
      </c>
      <c r="W16" t="str">
        <f t="shared" si="12"/>
        <v>Premium</v>
      </c>
      <c r="X16" t="str">
        <f t="shared" ca="1" si="13"/>
        <v>miss. Emeka (07067192220)</v>
      </c>
      <c r="Y16" t="str">
        <f t="shared" si="14"/>
        <v>Dear miss. Emeka Olawale, your purchase of Gas Cooker worth ₦ 81594 is Processed</v>
      </c>
    </row>
    <row r="17" spans="1:25" x14ac:dyDescent="0.25">
      <c r="A17" t="s">
        <v>20</v>
      </c>
      <c r="B17" s="3">
        <v>45587</v>
      </c>
      <c r="C17" t="s">
        <v>111</v>
      </c>
      <c r="D17" s="6">
        <v>169504</v>
      </c>
      <c r="E17" t="s">
        <v>119</v>
      </c>
      <c r="F17" t="s">
        <v>120</v>
      </c>
      <c r="G17" t="s">
        <v>126</v>
      </c>
      <c r="H17" t="s">
        <v>150</v>
      </c>
      <c r="I17" t="s">
        <v>140</v>
      </c>
      <c r="J17" t="str" cm="1">
        <f t="array" aca="1" ref="J17" ca="1">_xlfn.TEXTJOIN("", TRUE, IF(ISNUMBER(--MID(A17, ROW(INDIRECT("1:" &amp; LEN(A17))), 1)), MID(A17, ROW(INDIRECT("1:" &amp; LEN(A17))), 1), ""))</f>
        <v>07036412038</v>
      </c>
      <c r="K17" t="str">
        <f t="shared" si="0"/>
        <v>Miss. Ada Ali – 07036412038</v>
      </c>
      <c r="L17" t="str">
        <f t="shared" si="1"/>
        <v>GAS COOKER</v>
      </c>
      <c r="M17" t="str">
        <f t="shared" si="2"/>
        <v>miss.</v>
      </c>
      <c r="N17" t="str">
        <f t="shared" si="3"/>
        <v>Miss. Ada Ali  07036412038</v>
      </c>
      <c r="O17">
        <f t="shared" si="15"/>
        <v>2024</v>
      </c>
      <c r="P17">
        <f t="shared" si="5"/>
        <v>10</v>
      </c>
      <c r="Q17">
        <f t="shared" si="6"/>
        <v>22</v>
      </c>
      <c r="R17" s="4" t="str">
        <f t="shared" si="7"/>
        <v>October</v>
      </c>
      <c r="S17" t="str">
        <f t="shared" si="8"/>
        <v>Q4</v>
      </c>
      <c r="T17" t="str">
        <f t="shared" si="9"/>
        <v>Yes</v>
      </c>
      <c r="U17">
        <f t="shared" si="10"/>
        <v>169249.74400000001</v>
      </c>
      <c r="V17" t="str">
        <f t="shared" si="11"/>
        <v>Processed</v>
      </c>
      <c r="W17" t="str">
        <f t="shared" si="12"/>
        <v>Premium</v>
      </c>
      <c r="X17" t="str">
        <f t="shared" ca="1" si="13"/>
        <v>miss. Ada (07036412038)</v>
      </c>
      <c r="Y17" t="str">
        <f t="shared" si="14"/>
        <v>Dear miss. Ada Ali, your purchase of Gas Cooker worth ₦ 169249.744 is Processed</v>
      </c>
    </row>
    <row r="18" spans="1:25" x14ac:dyDescent="0.25">
      <c r="A18" t="s">
        <v>21</v>
      </c>
      <c r="B18" s="3">
        <v>45322</v>
      </c>
      <c r="C18" t="s">
        <v>108</v>
      </c>
      <c r="D18" s="6">
        <v>160960</v>
      </c>
      <c r="E18" t="s">
        <v>116</v>
      </c>
      <c r="F18" t="s">
        <v>121</v>
      </c>
      <c r="G18" t="s">
        <v>123</v>
      </c>
      <c r="H18" t="s">
        <v>146</v>
      </c>
      <c r="I18" t="s">
        <v>151</v>
      </c>
      <c r="J18" t="str" cm="1">
        <f t="array" aca="1" ref="J18" ca="1">_xlfn.TEXTJOIN("", TRUE, IF(ISNUMBER(--MID(A18, ROW(INDIRECT("1:" &amp; LEN(A18))), 1)), MID(A18, ROW(INDIRECT("1:" &amp; LEN(A18))), 1), ""))</f>
        <v>08185165081</v>
      </c>
      <c r="K18" t="str">
        <f t="shared" si="0"/>
        <v>Mrs. Ruth Johnson – 08185165081</v>
      </c>
      <c r="L18" t="str">
        <f t="shared" si="1"/>
        <v>MICROWAVE</v>
      </c>
      <c r="M18" t="str">
        <f t="shared" si="2"/>
        <v>mrs.</v>
      </c>
      <c r="N18" t="str">
        <f t="shared" si="3"/>
        <v>Mrs. Ruth Johnson  08185165081</v>
      </c>
      <c r="O18">
        <f t="shared" si="15"/>
        <v>2024</v>
      </c>
      <c r="P18">
        <f t="shared" si="5"/>
        <v>1</v>
      </c>
      <c r="Q18">
        <f t="shared" si="6"/>
        <v>31</v>
      </c>
      <c r="R18" s="4" t="str">
        <f t="shared" si="7"/>
        <v>January</v>
      </c>
      <c r="S18" t="str">
        <f t="shared" si="8"/>
        <v>Q1</v>
      </c>
      <c r="T18" t="str">
        <f t="shared" si="9"/>
        <v>Yes</v>
      </c>
      <c r="U18">
        <f t="shared" si="10"/>
        <v>160638.07999999999</v>
      </c>
      <c r="V18" t="str">
        <f t="shared" si="11"/>
        <v>Pending</v>
      </c>
      <c r="W18" t="str">
        <f t="shared" si="12"/>
        <v>Premium</v>
      </c>
      <c r="X18" t="str">
        <f t="shared" ca="1" si="13"/>
        <v>mrs. Ruth (08185165081)</v>
      </c>
      <c r="Y18" t="str">
        <f t="shared" si="14"/>
        <v>Dear mrs. Ruth Johnson, your purchase of Microwave worth ₦ 160638.08 is Pending</v>
      </c>
    </row>
    <row r="19" spans="1:25" x14ac:dyDescent="0.25">
      <c r="A19" t="s">
        <v>22</v>
      </c>
      <c r="B19" s="3">
        <v>45606</v>
      </c>
      <c r="C19" t="s">
        <v>109</v>
      </c>
      <c r="D19" s="6">
        <v>122378</v>
      </c>
      <c r="E19" t="s">
        <v>117</v>
      </c>
      <c r="F19" t="s">
        <v>120</v>
      </c>
      <c r="G19" t="s">
        <v>134</v>
      </c>
      <c r="H19" t="s">
        <v>132</v>
      </c>
      <c r="I19" t="s">
        <v>152</v>
      </c>
      <c r="J19" t="str" cm="1">
        <f t="array" aca="1" ref="J19" ca="1">_xlfn.TEXTJOIN("", TRUE, IF(ISNUMBER(--MID(A19, ROW(INDIRECT("1:" &amp; LEN(A19))), 1)), MID(A19, ROW(INDIRECT("1:" &amp; LEN(A19))), 1), ""))</f>
        <v>07056611946</v>
      </c>
      <c r="K19" t="str">
        <f t="shared" si="0"/>
        <v>Dr. Amina Adewale – 07056611946</v>
      </c>
      <c r="L19" t="str">
        <f t="shared" si="1"/>
        <v>IRON</v>
      </c>
      <c r="M19" t="str">
        <f t="shared" si="2"/>
        <v>dr.</v>
      </c>
      <c r="N19" t="str">
        <f t="shared" si="3"/>
        <v>Dr. Amina Adewale  07056611946</v>
      </c>
      <c r="O19">
        <f t="shared" si="15"/>
        <v>2024</v>
      </c>
      <c r="P19">
        <f t="shared" si="5"/>
        <v>11</v>
      </c>
      <c r="Q19">
        <f t="shared" si="6"/>
        <v>10</v>
      </c>
      <c r="R19" s="4" t="str">
        <f t="shared" si="7"/>
        <v>November</v>
      </c>
      <c r="S19" t="str">
        <f t="shared" si="8"/>
        <v>Q4</v>
      </c>
      <c r="T19" t="str">
        <f t="shared" si="9"/>
        <v>Yes</v>
      </c>
      <c r="U19">
        <f t="shared" si="10"/>
        <v>122316.811</v>
      </c>
      <c r="V19" t="str">
        <f t="shared" si="11"/>
        <v>Processed</v>
      </c>
      <c r="W19" t="str">
        <f t="shared" si="12"/>
        <v>Premium</v>
      </c>
      <c r="X19" t="str">
        <f t="shared" ca="1" si="13"/>
        <v>dr. Amina (07056611946)</v>
      </c>
      <c r="Y19" t="str">
        <f t="shared" si="14"/>
        <v>Dear dr. Amina Adewale, your purchase of Iron worth ₦ 122316.811 is Processed</v>
      </c>
    </row>
    <row r="20" spans="1:25" x14ac:dyDescent="0.25">
      <c r="A20" t="s">
        <v>23</v>
      </c>
      <c r="B20" s="3">
        <v>45419</v>
      </c>
      <c r="C20" t="s">
        <v>105</v>
      </c>
      <c r="D20" s="6">
        <v>110333</v>
      </c>
      <c r="E20" t="s">
        <v>117</v>
      </c>
      <c r="F20" t="s">
        <v>122</v>
      </c>
      <c r="G20" t="s">
        <v>123</v>
      </c>
      <c r="H20" t="s">
        <v>124</v>
      </c>
      <c r="I20" t="s">
        <v>153</v>
      </c>
      <c r="J20" t="str" cm="1">
        <f t="array" aca="1" ref="J20" ca="1">_xlfn.TEXTJOIN("", TRUE, IF(ISNUMBER(--MID(A20, ROW(INDIRECT("1:" &amp; LEN(A20))), 1)), MID(A20, ROW(INDIRECT("1:" &amp; LEN(A20))), 1), ""))</f>
        <v>09086668265</v>
      </c>
      <c r="K20" t="str">
        <f t="shared" si="0"/>
        <v>Mrs. Chidi Okafor – 09086668265</v>
      </c>
      <c r="L20" t="str">
        <f t="shared" si="1"/>
        <v>STANDING FAN</v>
      </c>
      <c r="M20" t="str">
        <f t="shared" si="2"/>
        <v>mrs.</v>
      </c>
      <c r="N20" t="str">
        <f t="shared" si="3"/>
        <v>Mrs. Chidi Okafor  09086668265</v>
      </c>
      <c r="O20">
        <f t="shared" si="15"/>
        <v>2024</v>
      </c>
      <c r="P20">
        <f t="shared" si="5"/>
        <v>5</v>
      </c>
      <c r="Q20">
        <f t="shared" si="6"/>
        <v>7</v>
      </c>
      <c r="R20" s="4" t="str">
        <f t="shared" si="7"/>
        <v>May</v>
      </c>
      <c r="S20" t="str">
        <f t="shared" si="8"/>
        <v>Q2</v>
      </c>
      <c r="T20" t="str">
        <f t="shared" si="9"/>
        <v>Yes</v>
      </c>
      <c r="U20">
        <f t="shared" si="10"/>
        <v>110277.83349999999</v>
      </c>
      <c r="V20" t="str">
        <f t="shared" si="11"/>
        <v>Processed</v>
      </c>
      <c r="W20" t="str">
        <f t="shared" si="12"/>
        <v>Premium</v>
      </c>
      <c r="X20" t="str">
        <f t="shared" ca="1" si="13"/>
        <v>mrs. Chidi (09086668265)</v>
      </c>
      <c r="Y20" t="str">
        <f t="shared" si="14"/>
        <v>Dear mrs. Chidi Okafor, your purchase of Standing Fan worth ₦ 110277.8335 is Processed</v>
      </c>
    </row>
    <row r="21" spans="1:25" x14ac:dyDescent="0.25">
      <c r="A21" t="s">
        <v>24</v>
      </c>
      <c r="B21" s="3">
        <v>45498</v>
      </c>
      <c r="C21" t="s">
        <v>109</v>
      </c>
      <c r="D21" s="6">
        <v>178495</v>
      </c>
      <c r="E21" t="s">
        <v>115</v>
      </c>
      <c r="F21" t="s">
        <v>121</v>
      </c>
      <c r="G21" t="s">
        <v>134</v>
      </c>
      <c r="H21" t="s">
        <v>150</v>
      </c>
      <c r="I21" t="s">
        <v>133</v>
      </c>
      <c r="J21" t="str" cm="1">
        <f t="array" aca="1" ref="J21" ca="1">_xlfn.TEXTJOIN("", TRUE, IF(ISNUMBER(--MID(A21, ROW(INDIRECT("1:" &amp; LEN(A21))), 1)), MID(A21, ROW(INDIRECT("1:" &amp; LEN(A21))), 1), ""))</f>
        <v>07062620665</v>
      </c>
      <c r="K21" t="str">
        <f t="shared" si="0"/>
        <v>Dr. Ada Taiwo – 07062620665</v>
      </c>
      <c r="L21" t="str">
        <f t="shared" si="1"/>
        <v>IRON</v>
      </c>
      <c r="M21" t="str">
        <f t="shared" si="2"/>
        <v>dr.</v>
      </c>
      <c r="N21" t="str">
        <f t="shared" si="3"/>
        <v>Dr. Ada Taiwo  07062620665</v>
      </c>
      <c r="O21">
        <f t="shared" si="15"/>
        <v>2024</v>
      </c>
      <c r="P21">
        <f t="shared" si="5"/>
        <v>7</v>
      </c>
      <c r="Q21">
        <f t="shared" si="6"/>
        <v>25</v>
      </c>
      <c r="R21" s="4" t="str">
        <f t="shared" si="7"/>
        <v>July</v>
      </c>
      <c r="S21" t="str">
        <f t="shared" si="8"/>
        <v>Q3</v>
      </c>
      <c r="T21" t="str">
        <f t="shared" si="9"/>
        <v>Yes</v>
      </c>
      <c r="U21">
        <f t="shared" si="10"/>
        <v>178316.505</v>
      </c>
      <c r="V21" t="str">
        <f t="shared" si="11"/>
        <v>Pending</v>
      </c>
      <c r="W21" t="str">
        <f t="shared" si="12"/>
        <v>Premium</v>
      </c>
      <c r="X21" t="str">
        <f t="shared" ca="1" si="13"/>
        <v>dr. Ada (07062620665)</v>
      </c>
      <c r="Y21" t="str">
        <f t="shared" si="14"/>
        <v>Dear dr. Ada Taiwo, your purchase of Iron worth ₦ 178316.505 is Pending</v>
      </c>
    </row>
    <row r="22" spans="1:25" x14ac:dyDescent="0.25">
      <c r="A22" t="s">
        <v>25</v>
      </c>
      <c r="B22" s="3">
        <v>45392</v>
      </c>
      <c r="C22" t="s">
        <v>110</v>
      </c>
      <c r="D22" s="6">
        <v>77467</v>
      </c>
      <c r="E22" t="s">
        <v>116</v>
      </c>
      <c r="F22" t="s">
        <v>121</v>
      </c>
      <c r="G22" t="s">
        <v>123</v>
      </c>
      <c r="H22" t="s">
        <v>154</v>
      </c>
      <c r="I22" t="s">
        <v>137</v>
      </c>
      <c r="J22" t="str" cm="1">
        <f t="array" aca="1" ref="J22" ca="1">_xlfn.TEXTJOIN("", TRUE, IF(ISNUMBER(--MID(A22, ROW(INDIRECT("1:" &amp; LEN(A22))), 1)), MID(A22, ROW(INDIRECT("1:" &amp; LEN(A22))), 1), ""))</f>
        <v>08038761618</v>
      </c>
      <c r="K22" t="str">
        <f t="shared" si="0"/>
        <v>Mrs. Grace Ade – 08038761618</v>
      </c>
      <c r="L22" t="str">
        <f t="shared" si="1"/>
        <v>BLENDER</v>
      </c>
      <c r="M22" t="str">
        <f t="shared" si="2"/>
        <v>mrs.</v>
      </c>
      <c r="N22" t="str">
        <f t="shared" si="3"/>
        <v>Mrs. Grace Ade  08038761618</v>
      </c>
      <c r="O22">
        <f t="shared" si="15"/>
        <v>2024</v>
      </c>
      <c r="P22">
        <f t="shared" si="5"/>
        <v>4</v>
      </c>
      <c r="Q22">
        <f t="shared" si="6"/>
        <v>10</v>
      </c>
      <c r="R22" s="4" t="str">
        <f t="shared" si="7"/>
        <v>April</v>
      </c>
      <c r="S22" t="str">
        <f t="shared" si="8"/>
        <v>Q2</v>
      </c>
      <c r="T22" t="str">
        <f t="shared" si="9"/>
        <v>Yes</v>
      </c>
      <c r="U22">
        <f t="shared" si="10"/>
        <v>77312.066000000006</v>
      </c>
      <c r="V22" t="str">
        <f t="shared" si="11"/>
        <v>Pending</v>
      </c>
      <c r="W22" t="str">
        <f t="shared" si="12"/>
        <v>Premium</v>
      </c>
      <c r="X22" t="str">
        <f t="shared" ca="1" si="13"/>
        <v>mrs. Grace (08038761618)</v>
      </c>
      <c r="Y22" t="str">
        <f t="shared" si="14"/>
        <v>Dear mrs. Grace Ade, your purchase of Blender worth ₦ 77312.066 is Pending</v>
      </c>
    </row>
    <row r="23" spans="1:25" x14ac:dyDescent="0.25">
      <c r="A23" t="s">
        <v>26</v>
      </c>
      <c r="B23" s="3">
        <v>45620</v>
      </c>
      <c r="C23" t="s">
        <v>106</v>
      </c>
      <c r="D23" s="6">
        <v>160177</v>
      </c>
      <c r="E23" t="s">
        <v>119</v>
      </c>
      <c r="F23" t="s">
        <v>121</v>
      </c>
      <c r="G23" t="s">
        <v>126</v>
      </c>
      <c r="H23" t="s">
        <v>154</v>
      </c>
      <c r="I23" t="s">
        <v>155</v>
      </c>
      <c r="J23" t="str" cm="1">
        <f t="array" aca="1" ref="J23" ca="1">_xlfn.TEXTJOIN("", TRUE, IF(ISNUMBER(--MID(A23, ROW(INDIRECT("1:" &amp; LEN(A23))), 1)), MID(A23, ROW(INDIRECT("1:" &amp; LEN(A23))), 1), ""))</f>
        <v>07019048978</v>
      </c>
      <c r="K23" t="str">
        <f t="shared" si="0"/>
        <v>Miss. Grace Olatunji – 07019048978</v>
      </c>
      <c r="L23" t="str">
        <f t="shared" si="1"/>
        <v>WASHING MACHINE</v>
      </c>
      <c r="M23" t="str">
        <f t="shared" si="2"/>
        <v>miss.</v>
      </c>
      <c r="N23" t="str">
        <f t="shared" si="3"/>
        <v>Miss. Grace Olatunji  07019048978</v>
      </c>
      <c r="O23">
        <f t="shared" si="15"/>
        <v>2024</v>
      </c>
      <c r="P23">
        <f t="shared" si="5"/>
        <v>11</v>
      </c>
      <c r="Q23">
        <f t="shared" si="6"/>
        <v>24</v>
      </c>
      <c r="R23" s="4" t="str">
        <f t="shared" si="7"/>
        <v>November</v>
      </c>
      <c r="S23" t="str">
        <f t="shared" si="8"/>
        <v>Q4</v>
      </c>
      <c r="T23" t="str">
        <f t="shared" si="9"/>
        <v>Yes</v>
      </c>
      <c r="U23">
        <f t="shared" si="10"/>
        <v>159936.73449999999</v>
      </c>
      <c r="V23" t="str">
        <f t="shared" si="11"/>
        <v>Pending</v>
      </c>
      <c r="W23" t="str">
        <f t="shared" si="12"/>
        <v>Premium</v>
      </c>
      <c r="X23" t="str">
        <f t="shared" ca="1" si="13"/>
        <v>miss. Grace (07019048978)</v>
      </c>
      <c r="Y23" t="str">
        <f t="shared" si="14"/>
        <v>Dear miss. Grace Olatunji, your purchase of Washing Machine worth ₦ 159936.7345 is Pending</v>
      </c>
    </row>
    <row r="24" spans="1:25" x14ac:dyDescent="0.25">
      <c r="A24" t="s">
        <v>27</v>
      </c>
      <c r="B24" s="3">
        <v>45442</v>
      </c>
      <c r="C24" t="s">
        <v>113</v>
      </c>
      <c r="D24" s="6">
        <v>111197</v>
      </c>
      <c r="E24" t="s">
        <v>116</v>
      </c>
      <c r="F24" t="s">
        <v>121</v>
      </c>
      <c r="G24" t="s">
        <v>123</v>
      </c>
      <c r="H24" t="s">
        <v>132</v>
      </c>
      <c r="I24" t="s">
        <v>140</v>
      </c>
      <c r="J24" t="str" cm="1">
        <f t="array" aca="1" ref="J24" ca="1">_xlfn.TEXTJOIN("", TRUE, IF(ISNUMBER(--MID(A24, ROW(INDIRECT("1:" &amp; LEN(A24))), 1)), MID(A24, ROW(INDIRECT("1:" &amp; LEN(A24))), 1), ""))</f>
        <v>09072227082</v>
      </c>
      <c r="K24" t="str">
        <f t="shared" si="0"/>
        <v>Mrs. Amina Ali – 09072227082</v>
      </c>
      <c r="L24" t="str">
        <f t="shared" si="1"/>
        <v>ELECTRIC KETTLE</v>
      </c>
      <c r="M24" t="str">
        <f t="shared" si="2"/>
        <v>mrs.</v>
      </c>
      <c r="N24" t="str">
        <f t="shared" si="3"/>
        <v>Mrs. Amina Ali  09072227082</v>
      </c>
      <c r="O24">
        <f t="shared" si="15"/>
        <v>2024</v>
      </c>
      <c r="P24">
        <f t="shared" si="5"/>
        <v>5</v>
      </c>
      <c r="Q24">
        <f t="shared" si="6"/>
        <v>30</v>
      </c>
      <c r="R24" s="4" t="str">
        <f t="shared" si="7"/>
        <v>May</v>
      </c>
      <c r="S24" t="str">
        <f t="shared" si="8"/>
        <v>Q2</v>
      </c>
      <c r="T24" t="str">
        <f t="shared" si="9"/>
        <v>Yes</v>
      </c>
      <c r="U24">
        <f t="shared" si="10"/>
        <v>110974.606</v>
      </c>
      <c r="V24" t="str">
        <f t="shared" si="11"/>
        <v>Pending</v>
      </c>
      <c r="W24" t="str">
        <f t="shared" si="12"/>
        <v>Premium</v>
      </c>
      <c r="X24" t="str">
        <f t="shared" ca="1" si="13"/>
        <v>mrs. Amina (09072227082)</v>
      </c>
      <c r="Y24" t="str">
        <f t="shared" si="14"/>
        <v>Dear mrs. Amina Ali, your purchase of Electric Kettle worth ₦ 110974.606 is Pending</v>
      </c>
    </row>
    <row r="25" spans="1:25" x14ac:dyDescent="0.25">
      <c r="A25" t="s">
        <v>28</v>
      </c>
      <c r="B25" s="3">
        <v>45333</v>
      </c>
      <c r="C25" t="s">
        <v>106</v>
      </c>
      <c r="D25" s="6">
        <v>173890</v>
      </c>
      <c r="E25" t="s">
        <v>117</v>
      </c>
      <c r="F25" t="s">
        <v>122</v>
      </c>
      <c r="G25" t="s">
        <v>123</v>
      </c>
      <c r="H25" t="s">
        <v>124</v>
      </c>
      <c r="I25" t="s">
        <v>129</v>
      </c>
      <c r="J25" t="str" cm="1">
        <f t="array" aca="1" ref="J25" ca="1">_xlfn.TEXTJOIN("", TRUE, IF(ISNUMBER(--MID(A25, ROW(INDIRECT("1:" &amp; LEN(A25))), 1)), MID(A25, ROW(INDIRECT("1:" &amp; LEN(A25))), 1), ""))</f>
        <v>09093611565</v>
      </c>
      <c r="K25" t="str">
        <f t="shared" si="0"/>
        <v>Mrs. Chidi Ojo – 09093611565</v>
      </c>
      <c r="L25" t="str">
        <f t="shared" si="1"/>
        <v>WASHING MACHINE</v>
      </c>
      <c r="M25" t="str">
        <f t="shared" si="2"/>
        <v>mrs.</v>
      </c>
      <c r="N25" t="str">
        <f t="shared" si="3"/>
        <v>Mrs. Chidi Ojo  09093611565</v>
      </c>
      <c r="O25">
        <f t="shared" si="15"/>
        <v>2024</v>
      </c>
      <c r="P25">
        <f t="shared" si="5"/>
        <v>2</v>
      </c>
      <c r="Q25">
        <f t="shared" si="6"/>
        <v>11</v>
      </c>
      <c r="R25" s="4" t="str">
        <f t="shared" si="7"/>
        <v>February</v>
      </c>
      <c r="S25" t="str">
        <f t="shared" si="8"/>
        <v>Q1</v>
      </c>
      <c r="T25" t="str">
        <f t="shared" si="9"/>
        <v>Yes</v>
      </c>
      <c r="U25">
        <f t="shared" si="10"/>
        <v>173803.05499999999</v>
      </c>
      <c r="V25" t="str">
        <f t="shared" si="11"/>
        <v>Processed</v>
      </c>
      <c r="W25" t="str">
        <f t="shared" si="12"/>
        <v>Premium</v>
      </c>
      <c r="X25" t="str">
        <f t="shared" ca="1" si="13"/>
        <v>mrs. Chidi (09093611565)</v>
      </c>
      <c r="Y25" t="str">
        <f t="shared" si="14"/>
        <v>Dear mrs. Chidi Ojo, your purchase of Washing Machine worth ₦ 173803.055 is Processed</v>
      </c>
    </row>
    <row r="26" spans="1:25" x14ac:dyDescent="0.25">
      <c r="A26" t="s">
        <v>29</v>
      </c>
      <c r="B26" s="3">
        <v>45430</v>
      </c>
      <c r="C26" t="s">
        <v>114</v>
      </c>
      <c r="D26" s="6">
        <v>154472</v>
      </c>
      <c r="E26" t="s">
        <v>117</v>
      </c>
      <c r="F26" t="s">
        <v>122</v>
      </c>
      <c r="G26" t="s">
        <v>126</v>
      </c>
      <c r="H26" t="s">
        <v>141</v>
      </c>
      <c r="I26" t="s">
        <v>152</v>
      </c>
      <c r="J26" t="str" cm="1">
        <f t="array" aca="1" ref="J26" ca="1">_xlfn.TEXTJOIN("", TRUE, IF(ISNUMBER(--MID(A26, ROW(INDIRECT("1:" &amp; LEN(A26))), 1)), MID(A26, ROW(INDIRECT("1:" &amp; LEN(A26))), 1), ""))</f>
        <v>08042614139</v>
      </c>
      <c r="K26" t="str">
        <f t="shared" si="0"/>
        <v>Miss. Joseph Adewale – 08042614139</v>
      </c>
      <c r="L26" t="str">
        <f t="shared" si="1"/>
        <v>REFRIGERATOR</v>
      </c>
      <c r="M26" t="str">
        <f t="shared" si="2"/>
        <v>miss.</v>
      </c>
      <c r="N26" t="str">
        <f t="shared" si="3"/>
        <v>Miss. Joseph Adewale  08042614139</v>
      </c>
      <c r="O26">
        <f t="shared" si="15"/>
        <v>2024</v>
      </c>
      <c r="P26">
        <f t="shared" si="5"/>
        <v>5</v>
      </c>
      <c r="Q26">
        <f t="shared" si="6"/>
        <v>18</v>
      </c>
      <c r="R26" s="4" t="str">
        <f t="shared" si="7"/>
        <v>May</v>
      </c>
      <c r="S26" t="str">
        <f t="shared" si="8"/>
        <v>Q2</v>
      </c>
      <c r="T26" t="str">
        <f t="shared" si="9"/>
        <v>Yes</v>
      </c>
      <c r="U26">
        <f t="shared" si="10"/>
        <v>154394.764</v>
      </c>
      <c r="V26" t="str">
        <f t="shared" si="11"/>
        <v>Processed</v>
      </c>
      <c r="W26" t="str">
        <f t="shared" si="12"/>
        <v>Premium</v>
      </c>
      <c r="X26" t="str">
        <f t="shared" ca="1" si="13"/>
        <v>miss. Joseph (08042614139)</v>
      </c>
      <c r="Y26" t="str">
        <f t="shared" si="14"/>
        <v>Dear miss. Joseph Adewale, your purchase of Refrigerator worth ₦ 154394.764 is Processed</v>
      </c>
    </row>
    <row r="27" spans="1:25" x14ac:dyDescent="0.25">
      <c r="A27" t="s">
        <v>30</v>
      </c>
      <c r="B27" s="3">
        <v>45412</v>
      </c>
      <c r="C27" t="s">
        <v>109</v>
      </c>
      <c r="D27" s="6">
        <v>171692</v>
      </c>
      <c r="E27" t="s">
        <v>117</v>
      </c>
      <c r="F27" t="s">
        <v>120</v>
      </c>
      <c r="G27" t="s">
        <v>134</v>
      </c>
      <c r="H27" t="s">
        <v>138</v>
      </c>
      <c r="I27" t="s">
        <v>155</v>
      </c>
      <c r="J27" t="str" cm="1">
        <f t="array" aca="1" ref="J27" ca="1">_xlfn.TEXTJOIN("", TRUE, IF(ISNUMBER(--MID(A27, ROW(INDIRECT("1:" &amp; LEN(A27))), 1)), MID(A27, ROW(INDIRECT("1:" &amp; LEN(A27))), 1), ""))</f>
        <v>09047585745</v>
      </c>
      <c r="K27" t="str">
        <f t="shared" si="0"/>
        <v>Dr. Halima Olatunji – 09047585745</v>
      </c>
      <c r="L27" t="str">
        <f t="shared" si="1"/>
        <v>IRON</v>
      </c>
      <c r="M27" t="str">
        <f t="shared" si="2"/>
        <v>dr.</v>
      </c>
      <c r="N27" t="str">
        <f t="shared" si="3"/>
        <v>Dr. Halima Olatunji  09047585745</v>
      </c>
      <c r="O27">
        <f t="shared" si="15"/>
        <v>2024</v>
      </c>
      <c r="P27">
        <f t="shared" si="5"/>
        <v>4</v>
      </c>
      <c r="Q27">
        <f t="shared" si="6"/>
        <v>30</v>
      </c>
      <c r="R27" s="4" t="str">
        <f t="shared" si="7"/>
        <v>April</v>
      </c>
      <c r="S27" t="str">
        <f t="shared" si="8"/>
        <v>Q2</v>
      </c>
      <c r="T27" t="str">
        <f t="shared" si="9"/>
        <v>Yes</v>
      </c>
      <c r="U27">
        <f t="shared" si="10"/>
        <v>171606.15400000001</v>
      </c>
      <c r="V27" t="str">
        <f t="shared" si="11"/>
        <v>Processed</v>
      </c>
      <c r="W27" t="str">
        <f t="shared" si="12"/>
        <v>Premium</v>
      </c>
      <c r="X27" t="str">
        <f t="shared" ca="1" si="13"/>
        <v>dr. Halima (09047585745)</v>
      </c>
      <c r="Y27" t="str">
        <f t="shared" si="14"/>
        <v>Dear dr. Halima Olatunji, your purchase of Iron worth ₦ 171606.154 is Processed</v>
      </c>
    </row>
    <row r="28" spans="1:25" x14ac:dyDescent="0.25">
      <c r="A28" t="s">
        <v>31</v>
      </c>
      <c r="B28" s="3">
        <v>45458</v>
      </c>
      <c r="C28" t="s">
        <v>107</v>
      </c>
      <c r="D28" s="6">
        <v>154074</v>
      </c>
      <c r="E28" t="s">
        <v>118</v>
      </c>
      <c r="F28" t="s">
        <v>122</v>
      </c>
      <c r="G28" t="s">
        <v>126</v>
      </c>
      <c r="H28" t="s">
        <v>156</v>
      </c>
      <c r="I28" t="s">
        <v>152</v>
      </c>
      <c r="J28" t="str" cm="1">
        <f t="array" aca="1" ref="J28" ca="1">_xlfn.TEXTJOIN("", TRUE, IF(ISNUMBER(--MID(A28, ROW(INDIRECT("1:" &amp; LEN(A28))), 1)), MID(A28, ROW(INDIRECT("1:" &amp; LEN(A28))), 1), ""))</f>
        <v>08129643972</v>
      </c>
      <c r="K28" t="str">
        <f t="shared" si="0"/>
        <v>Miss. Tunde Adewale – 08129643972</v>
      </c>
      <c r="L28" t="str">
        <f t="shared" si="1"/>
        <v>TOASTER</v>
      </c>
      <c r="M28" t="str">
        <f t="shared" si="2"/>
        <v>miss.</v>
      </c>
      <c r="N28" t="str">
        <f t="shared" si="3"/>
        <v>Miss. Tunde Adewale  08129643972</v>
      </c>
      <c r="O28">
        <f t="shared" si="15"/>
        <v>2024</v>
      </c>
      <c r="P28">
        <f t="shared" si="5"/>
        <v>6</v>
      </c>
      <c r="Q28">
        <f t="shared" si="6"/>
        <v>15</v>
      </c>
      <c r="R28" s="4" t="str">
        <f t="shared" si="7"/>
        <v>June</v>
      </c>
      <c r="S28" t="str">
        <f t="shared" si="8"/>
        <v>Q2</v>
      </c>
      <c r="T28" t="str">
        <f t="shared" si="9"/>
        <v>Yes</v>
      </c>
      <c r="U28">
        <f t="shared" si="10"/>
        <v>154074</v>
      </c>
      <c r="V28" t="str">
        <f t="shared" si="11"/>
        <v>Processed</v>
      </c>
      <c r="W28" t="str">
        <f t="shared" si="12"/>
        <v>Premium</v>
      </c>
      <c r="X28" t="str">
        <f t="shared" ca="1" si="13"/>
        <v>miss. Tunde (08129643972)</v>
      </c>
      <c r="Y28" t="str">
        <f t="shared" si="14"/>
        <v>Dear miss. Tunde Adewale, your purchase of Toaster worth ₦ 154074 is Processed</v>
      </c>
    </row>
    <row r="29" spans="1:25" x14ac:dyDescent="0.25">
      <c r="A29" t="s">
        <v>32</v>
      </c>
      <c r="B29" s="3">
        <v>45423</v>
      </c>
      <c r="C29" t="s">
        <v>110</v>
      </c>
      <c r="D29" s="6">
        <v>104721</v>
      </c>
      <c r="E29" t="s">
        <v>119</v>
      </c>
      <c r="F29" t="s">
        <v>121</v>
      </c>
      <c r="G29" t="s">
        <v>123</v>
      </c>
      <c r="H29" t="s">
        <v>157</v>
      </c>
      <c r="I29" t="s">
        <v>129</v>
      </c>
      <c r="J29" t="str" cm="1">
        <f t="array" aca="1" ref="J29" ca="1">_xlfn.TEXTJOIN("", TRUE, IF(ISNUMBER(--MID(A29, ROW(INDIRECT("1:" &amp; LEN(A29))), 1)), MID(A29, ROW(INDIRECT("1:" &amp; LEN(A29))), 1), ""))</f>
        <v>07081606386</v>
      </c>
      <c r="K29" t="str">
        <f t="shared" si="0"/>
        <v>Mrs. Bola Ojo – 07081606386</v>
      </c>
      <c r="L29" t="str">
        <f t="shared" si="1"/>
        <v>BLENDER</v>
      </c>
      <c r="M29" t="str">
        <f t="shared" si="2"/>
        <v>mrs.</v>
      </c>
      <c r="N29" t="str">
        <f t="shared" si="3"/>
        <v>Mrs. Bola Ojo  07081606386</v>
      </c>
      <c r="O29">
        <f t="shared" si="15"/>
        <v>2024</v>
      </c>
      <c r="P29">
        <f t="shared" si="5"/>
        <v>5</v>
      </c>
      <c r="Q29">
        <f t="shared" si="6"/>
        <v>11</v>
      </c>
      <c r="R29" s="4" t="str">
        <f t="shared" si="7"/>
        <v>May</v>
      </c>
      <c r="S29" t="str">
        <f t="shared" si="8"/>
        <v>Q2</v>
      </c>
      <c r="T29" t="str">
        <f t="shared" si="9"/>
        <v>Yes</v>
      </c>
      <c r="U29">
        <f t="shared" si="10"/>
        <v>104563.9185</v>
      </c>
      <c r="V29" t="str">
        <f t="shared" si="11"/>
        <v>Pending</v>
      </c>
      <c r="W29" t="str">
        <f t="shared" si="12"/>
        <v>Premium</v>
      </c>
      <c r="X29" t="str">
        <f t="shared" ca="1" si="13"/>
        <v>mrs. Bola (07081606386)</v>
      </c>
      <c r="Y29" t="str">
        <f t="shared" si="14"/>
        <v>Dear mrs. Bola Ojo, your purchase of Blender worth ₦ 104563.9185 is Pending</v>
      </c>
    </row>
    <row r="30" spans="1:25" x14ac:dyDescent="0.25">
      <c r="A30" t="s">
        <v>33</v>
      </c>
      <c r="B30" s="3">
        <v>45614</v>
      </c>
      <c r="C30" t="s">
        <v>106</v>
      </c>
      <c r="D30" s="6">
        <v>169332</v>
      </c>
      <c r="E30" t="s">
        <v>118</v>
      </c>
      <c r="F30" t="s">
        <v>121</v>
      </c>
      <c r="G30" t="s">
        <v>123</v>
      </c>
      <c r="H30" t="s">
        <v>138</v>
      </c>
      <c r="I30" t="s">
        <v>151</v>
      </c>
      <c r="J30" t="str" cm="1">
        <f t="array" aca="1" ref="J30" ca="1">_xlfn.TEXTJOIN("", TRUE, IF(ISNUMBER(--MID(A30, ROW(INDIRECT("1:" &amp; LEN(A30))), 1)), MID(A30, ROW(INDIRECT("1:" &amp; LEN(A30))), 1), ""))</f>
        <v>08169728529</v>
      </c>
      <c r="K30" t="str">
        <f t="shared" si="0"/>
        <v>Mrs. Halima Johnson – 08169728529</v>
      </c>
      <c r="L30" t="str">
        <f t="shared" si="1"/>
        <v>WASHING MACHINE</v>
      </c>
      <c r="M30" t="str">
        <f t="shared" si="2"/>
        <v>mrs.</v>
      </c>
      <c r="N30" t="str">
        <f t="shared" si="3"/>
        <v>Mrs. Halima Johnson  08169728529</v>
      </c>
      <c r="O30">
        <f t="shared" si="15"/>
        <v>2024</v>
      </c>
      <c r="P30">
        <f t="shared" si="5"/>
        <v>11</v>
      </c>
      <c r="Q30">
        <f t="shared" si="6"/>
        <v>18</v>
      </c>
      <c r="R30" s="4" t="str">
        <f t="shared" si="7"/>
        <v>November</v>
      </c>
      <c r="S30" t="str">
        <f t="shared" si="8"/>
        <v>Q4</v>
      </c>
      <c r="T30" t="str">
        <f t="shared" si="9"/>
        <v>Yes</v>
      </c>
      <c r="U30">
        <f t="shared" si="10"/>
        <v>169332</v>
      </c>
      <c r="V30" t="str">
        <f t="shared" si="11"/>
        <v>Pending</v>
      </c>
      <c r="W30" t="str">
        <f t="shared" si="12"/>
        <v>Premium</v>
      </c>
      <c r="X30" t="str">
        <f t="shared" ca="1" si="13"/>
        <v>mrs. Halima (08169728529)</v>
      </c>
      <c r="Y30" t="str">
        <f t="shared" si="14"/>
        <v>Dear mrs. Halima Johnson, your purchase of Washing Machine worth ₦ 169332 is Pending</v>
      </c>
    </row>
    <row r="31" spans="1:25" x14ac:dyDescent="0.25">
      <c r="A31" t="s">
        <v>34</v>
      </c>
      <c r="B31" s="3">
        <v>45614</v>
      </c>
      <c r="C31" t="s">
        <v>105</v>
      </c>
      <c r="D31" s="6">
        <v>29525</v>
      </c>
      <c r="E31" t="s">
        <v>118</v>
      </c>
      <c r="F31" t="s">
        <v>121</v>
      </c>
      <c r="G31" t="s">
        <v>123</v>
      </c>
      <c r="H31" t="s">
        <v>158</v>
      </c>
      <c r="I31" t="s">
        <v>159</v>
      </c>
      <c r="J31" t="str" cm="1">
        <f t="array" aca="1" ref="J31" ca="1">_xlfn.TEXTJOIN("", TRUE, IF(ISNUMBER(--MID(A31, ROW(INDIRECT("1:" &amp; LEN(A31))), 1)), MID(A31, ROW(INDIRECT("1:" &amp; LEN(A31))), 1), ""))</f>
        <v>08167231149</v>
      </c>
      <c r="K31" t="str">
        <f t="shared" si="0"/>
        <v>Mrs. Joy Afolabi – 08167231149</v>
      </c>
      <c r="L31" t="str">
        <f t="shared" si="1"/>
        <v>STANDING FAN</v>
      </c>
      <c r="M31" t="str">
        <f t="shared" si="2"/>
        <v>mrs.</v>
      </c>
      <c r="N31" t="str">
        <f t="shared" si="3"/>
        <v>Mrs. Joy Afolabi  08167231149</v>
      </c>
      <c r="O31">
        <f t="shared" si="15"/>
        <v>2024</v>
      </c>
      <c r="P31">
        <f t="shared" si="5"/>
        <v>11</v>
      </c>
      <c r="Q31">
        <f t="shared" si="6"/>
        <v>18</v>
      </c>
      <c r="R31" s="4" t="str">
        <f t="shared" si="7"/>
        <v>November</v>
      </c>
      <c r="S31" t="str">
        <f t="shared" si="8"/>
        <v>Q4</v>
      </c>
      <c r="T31" t="str">
        <f t="shared" si="9"/>
        <v>Yes</v>
      </c>
      <c r="U31">
        <f t="shared" si="10"/>
        <v>29525</v>
      </c>
      <c r="V31" t="str">
        <f t="shared" si="11"/>
        <v>Pending</v>
      </c>
      <c r="W31" t="str">
        <f t="shared" si="12"/>
        <v>Regular</v>
      </c>
      <c r="X31" t="str">
        <f t="shared" ca="1" si="13"/>
        <v>mrs. Joy (08167231149)</v>
      </c>
      <c r="Y31" t="str">
        <f t="shared" si="14"/>
        <v>Dear mrs. Joy Afolabi, your purchase of Standing Fan worth ₦ 29525 is Pending</v>
      </c>
    </row>
    <row r="32" spans="1:25" x14ac:dyDescent="0.25">
      <c r="A32" t="s">
        <v>35</v>
      </c>
      <c r="B32" s="3">
        <v>45649</v>
      </c>
      <c r="C32" t="s">
        <v>105</v>
      </c>
      <c r="D32" s="6">
        <v>170272</v>
      </c>
      <c r="E32" t="s">
        <v>117</v>
      </c>
      <c r="F32" t="s">
        <v>121</v>
      </c>
      <c r="G32" t="s">
        <v>136</v>
      </c>
      <c r="H32" t="s">
        <v>135</v>
      </c>
      <c r="I32" t="s">
        <v>133</v>
      </c>
      <c r="J32" t="str" cm="1">
        <f t="array" aca="1" ref="J32" ca="1">_xlfn.TEXTJOIN("", TRUE, IF(ISNUMBER(--MID(A32, ROW(INDIRECT("1:" &amp; LEN(A32))), 1)), MID(A32, ROW(INDIRECT("1:" &amp; LEN(A32))), 1), ""))</f>
        <v>09093824066</v>
      </c>
      <c r="K32" t="str">
        <f t="shared" si="0"/>
        <v>Mr. Faith Taiwo – 09093824066</v>
      </c>
      <c r="L32" t="str">
        <f t="shared" si="1"/>
        <v>STANDING FAN</v>
      </c>
      <c r="M32" t="str">
        <f t="shared" si="2"/>
        <v>mr.</v>
      </c>
      <c r="N32" t="str">
        <f t="shared" si="3"/>
        <v>Mr. Faith Taiwo  09093824066</v>
      </c>
      <c r="O32">
        <f t="shared" si="15"/>
        <v>2024</v>
      </c>
      <c r="P32">
        <f t="shared" si="5"/>
        <v>12</v>
      </c>
      <c r="Q32">
        <f t="shared" si="6"/>
        <v>23</v>
      </c>
      <c r="R32" s="4" t="str">
        <f t="shared" si="7"/>
        <v>December</v>
      </c>
      <c r="S32" t="str">
        <f t="shared" si="8"/>
        <v>Q4</v>
      </c>
      <c r="T32" t="str">
        <f t="shared" si="9"/>
        <v>Yes</v>
      </c>
      <c r="U32">
        <f t="shared" si="10"/>
        <v>170186.864</v>
      </c>
      <c r="V32" t="str">
        <f t="shared" si="11"/>
        <v>Pending</v>
      </c>
      <c r="W32" t="str">
        <f t="shared" si="12"/>
        <v>Premium</v>
      </c>
      <c r="X32" t="str">
        <f t="shared" ca="1" si="13"/>
        <v>mr. Faith (09093824066)</v>
      </c>
      <c r="Y32" t="str">
        <f t="shared" si="14"/>
        <v>Dear mr. Faith Taiwo, your purchase of Standing Fan worth ₦ 170186.864 is Pending</v>
      </c>
    </row>
    <row r="33" spans="1:25" x14ac:dyDescent="0.25">
      <c r="A33" t="s">
        <v>36</v>
      </c>
      <c r="B33" s="3">
        <v>45630</v>
      </c>
      <c r="C33" t="s">
        <v>105</v>
      </c>
      <c r="D33" s="6">
        <v>95105</v>
      </c>
      <c r="E33" t="s">
        <v>115</v>
      </c>
      <c r="F33" t="s">
        <v>121</v>
      </c>
      <c r="G33" t="s">
        <v>126</v>
      </c>
      <c r="H33" t="s">
        <v>156</v>
      </c>
      <c r="I33" t="s">
        <v>129</v>
      </c>
      <c r="J33" t="str" cm="1">
        <f t="array" aca="1" ref="J33" ca="1">_xlfn.TEXTJOIN("", TRUE, IF(ISNUMBER(--MID(A33, ROW(INDIRECT("1:" &amp; LEN(A33))), 1)), MID(A33, ROW(INDIRECT("1:" &amp; LEN(A33))), 1), ""))</f>
        <v>07086987888</v>
      </c>
      <c r="K33" t="str">
        <f t="shared" si="0"/>
        <v>Miss. Tunde Ojo – 07086987888</v>
      </c>
      <c r="L33" t="str">
        <f t="shared" si="1"/>
        <v>STANDING FAN</v>
      </c>
      <c r="M33" t="str">
        <f t="shared" si="2"/>
        <v>miss.</v>
      </c>
      <c r="N33" t="str">
        <f t="shared" si="3"/>
        <v>Miss. Tunde Ojo  07086987888</v>
      </c>
      <c r="O33">
        <f t="shared" si="15"/>
        <v>2024</v>
      </c>
      <c r="P33">
        <f t="shared" si="5"/>
        <v>12</v>
      </c>
      <c r="Q33">
        <f t="shared" si="6"/>
        <v>4</v>
      </c>
      <c r="R33" s="4" t="str">
        <f t="shared" si="7"/>
        <v>December</v>
      </c>
      <c r="S33" t="str">
        <f t="shared" si="8"/>
        <v>Q4</v>
      </c>
      <c r="T33" t="str">
        <f t="shared" si="9"/>
        <v>Yes</v>
      </c>
      <c r="U33">
        <f t="shared" si="10"/>
        <v>95009.895000000004</v>
      </c>
      <c r="V33" t="str">
        <f t="shared" si="11"/>
        <v>Pending</v>
      </c>
      <c r="W33" t="str">
        <f t="shared" si="12"/>
        <v>Premium</v>
      </c>
      <c r="X33" t="str">
        <f t="shared" ca="1" si="13"/>
        <v>miss. Tunde (07086987888)</v>
      </c>
      <c r="Y33" t="str">
        <f t="shared" si="14"/>
        <v>Dear miss. Tunde Ojo, your purchase of Standing Fan worth ₦ 95009.895 is Pending</v>
      </c>
    </row>
    <row r="34" spans="1:25" x14ac:dyDescent="0.25">
      <c r="A34" t="s">
        <v>37</v>
      </c>
      <c r="B34" s="3">
        <v>45533</v>
      </c>
      <c r="C34" t="s">
        <v>113</v>
      </c>
      <c r="D34" s="6">
        <v>93204</v>
      </c>
      <c r="E34" t="s">
        <v>118</v>
      </c>
      <c r="F34" t="s">
        <v>121</v>
      </c>
      <c r="G34" t="s">
        <v>134</v>
      </c>
      <c r="H34" t="s">
        <v>135</v>
      </c>
      <c r="I34" t="s">
        <v>129</v>
      </c>
      <c r="J34" t="str" cm="1">
        <f t="array" aca="1" ref="J34" ca="1">_xlfn.TEXTJOIN("", TRUE, IF(ISNUMBER(--MID(A34, ROW(INDIRECT("1:" &amp; LEN(A34))), 1)), MID(A34, ROW(INDIRECT("1:" &amp; LEN(A34))), 1), ""))</f>
        <v>08185958296</v>
      </c>
      <c r="K34" t="str">
        <f t="shared" si="0"/>
        <v>Dr. Faith Ojo – 08185958296</v>
      </c>
      <c r="L34" t="str">
        <f t="shared" si="1"/>
        <v>ELECTRIC KETTLE</v>
      </c>
      <c r="M34" t="str">
        <f t="shared" si="2"/>
        <v>dr.</v>
      </c>
      <c r="N34" t="str">
        <f t="shared" si="3"/>
        <v>Dr. Faith Ojo  08185958296</v>
      </c>
      <c r="O34">
        <f t="shared" si="15"/>
        <v>2024</v>
      </c>
      <c r="P34">
        <f t="shared" si="5"/>
        <v>8</v>
      </c>
      <c r="Q34">
        <f t="shared" si="6"/>
        <v>29</v>
      </c>
      <c r="R34" s="4" t="str">
        <f t="shared" si="7"/>
        <v>August</v>
      </c>
      <c r="S34" t="str">
        <f t="shared" si="8"/>
        <v>Q3</v>
      </c>
      <c r="T34" t="str">
        <f t="shared" si="9"/>
        <v>Yes</v>
      </c>
      <c r="U34">
        <f t="shared" si="10"/>
        <v>93204</v>
      </c>
      <c r="V34" t="str">
        <f t="shared" si="11"/>
        <v>Pending</v>
      </c>
      <c r="W34" t="str">
        <f t="shared" si="12"/>
        <v>Premium</v>
      </c>
      <c r="X34" t="str">
        <f t="shared" ca="1" si="13"/>
        <v>dr. Faith (08185958296)</v>
      </c>
      <c r="Y34" t="str">
        <f t="shared" si="14"/>
        <v>Dear dr. Faith Ojo, your purchase of Electric Kettle worth ₦ 93204 is Pending</v>
      </c>
    </row>
    <row r="35" spans="1:25" x14ac:dyDescent="0.25">
      <c r="A35" t="s">
        <v>38</v>
      </c>
      <c r="B35" s="3">
        <v>45442</v>
      </c>
      <c r="C35" t="s">
        <v>105</v>
      </c>
      <c r="D35" s="6">
        <v>66622</v>
      </c>
      <c r="E35" t="s">
        <v>116</v>
      </c>
      <c r="F35" t="s">
        <v>122</v>
      </c>
      <c r="G35" t="s">
        <v>123</v>
      </c>
      <c r="H35" t="s">
        <v>150</v>
      </c>
      <c r="I35" t="s">
        <v>160</v>
      </c>
      <c r="J35" t="str" cm="1">
        <f t="array" aca="1" ref="J35" ca="1">_xlfn.TEXTJOIN("", TRUE, IF(ISNUMBER(--MID(A35, ROW(INDIRECT("1:" &amp; LEN(A35))), 1)), MID(A35, ROW(INDIRECT("1:" &amp; LEN(A35))), 1), ""))</f>
        <v>08152223676</v>
      </c>
      <c r="K35" t="str">
        <f t="shared" si="0"/>
        <v>Mrs. Ada Balogun – 08152223676</v>
      </c>
      <c r="L35" t="str">
        <f t="shared" si="1"/>
        <v>STANDING FAN</v>
      </c>
      <c r="M35" t="str">
        <f t="shared" si="2"/>
        <v>mrs.</v>
      </c>
      <c r="N35" t="str">
        <f t="shared" si="3"/>
        <v>Mrs. Ada Balogun  08152223676</v>
      </c>
      <c r="O35">
        <f t="shared" si="15"/>
        <v>2024</v>
      </c>
      <c r="P35">
        <f t="shared" si="5"/>
        <v>5</v>
      </c>
      <c r="Q35">
        <f t="shared" si="6"/>
        <v>30</v>
      </c>
      <c r="R35" s="4" t="str">
        <f t="shared" si="7"/>
        <v>May</v>
      </c>
      <c r="S35" t="str">
        <f t="shared" si="8"/>
        <v>Q2</v>
      </c>
      <c r="T35" t="str">
        <f t="shared" si="9"/>
        <v>Yes</v>
      </c>
      <c r="U35">
        <f t="shared" si="10"/>
        <v>66488.755999999994</v>
      </c>
      <c r="V35" t="str">
        <f t="shared" si="11"/>
        <v>Processed</v>
      </c>
      <c r="W35" t="str">
        <f t="shared" si="12"/>
        <v>Premium</v>
      </c>
      <c r="X35" t="str">
        <f t="shared" ca="1" si="13"/>
        <v>mrs. Ada (08152223676)</v>
      </c>
      <c r="Y35" t="str">
        <f t="shared" si="14"/>
        <v>Dear mrs. Ada Balogun, your purchase of Standing Fan worth ₦ 66488.756 is Processed</v>
      </c>
    </row>
    <row r="36" spans="1:25" x14ac:dyDescent="0.25">
      <c r="A36" t="s">
        <v>39</v>
      </c>
      <c r="B36" s="3">
        <v>45315</v>
      </c>
      <c r="C36" t="s">
        <v>108</v>
      </c>
      <c r="D36" s="6">
        <v>179056</v>
      </c>
      <c r="E36" t="s">
        <v>116</v>
      </c>
      <c r="F36" t="s">
        <v>122</v>
      </c>
      <c r="G36" t="s">
        <v>134</v>
      </c>
      <c r="H36" t="s">
        <v>161</v>
      </c>
      <c r="I36" t="s">
        <v>143</v>
      </c>
      <c r="J36" t="str" cm="1">
        <f t="array" aca="1" ref="J36" ca="1">_xlfn.TEXTJOIN("", TRUE, IF(ISNUMBER(--MID(A36, ROW(INDIRECT("1:" &amp; LEN(A36))), 1)), MID(A36, ROW(INDIRECT("1:" &amp; LEN(A36))), 1), ""))</f>
        <v>08130175708</v>
      </c>
      <c r="K36" t="str">
        <f t="shared" si="0"/>
        <v>Dr. John Okon – 08130175708</v>
      </c>
      <c r="L36" t="str">
        <f t="shared" si="1"/>
        <v>MICROWAVE</v>
      </c>
      <c r="M36" t="str">
        <f t="shared" si="2"/>
        <v>dr.</v>
      </c>
      <c r="N36" t="str">
        <f t="shared" si="3"/>
        <v>Dr. John Okon  08130175708</v>
      </c>
      <c r="O36">
        <f t="shared" si="15"/>
        <v>2024</v>
      </c>
      <c r="P36">
        <f t="shared" si="5"/>
        <v>1</v>
      </c>
      <c r="Q36">
        <f t="shared" si="6"/>
        <v>24</v>
      </c>
      <c r="R36" s="4" t="str">
        <f t="shared" si="7"/>
        <v>January</v>
      </c>
      <c r="S36" t="str">
        <f t="shared" si="8"/>
        <v>Q1</v>
      </c>
      <c r="T36" t="str">
        <f t="shared" si="9"/>
        <v>Yes</v>
      </c>
      <c r="U36">
        <f t="shared" si="10"/>
        <v>178697.88800000001</v>
      </c>
      <c r="V36" t="str">
        <f t="shared" si="11"/>
        <v>Processed</v>
      </c>
      <c r="W36" t="str">
        <f t="shared" si="12"/>
        <v>Premium</v>
      </c>
      <c r="X36" t="str">
        <f t="shared" ca="1" si="13"/>
        <v>dr. John (08130175708)</v>
      </c>
      <c r="Y36" t="str">
        <f t="shared" si="14"/>
        <v>Dear dr. John Okon, your purchase of Microwave worth ₦ 178697.888 is Processed</v>
      </c>
    </row>
    <row r="37" spans="1:25" x14ac:dyDescent="0.25">
      <c r="A37" t="s">
        <v>40</v>
      </c>
      <c r="B37" s="3">
        <v>45530</v>
      </c>
      <c r="C37" t="s">
        <v>111</v>
      </c>
      <c r="D37" s="6">
        <v>167390</v>
      </c>
      <c r="E37" t="s">
        <v>115</v>
      </c>
      <c r="F37" t="s">
        <v>120</v>
      </c>
      <c r="G37" t="s">
        <v>136</v>
      </c>
      <c r="H37" t="s">
        <v>161</v>
      </c>
      <c r="I37" t="s">
        <v>151</v>
      </c>
      <c r="J37" t="str" cm="1">
        <f t="array" aca="1" ref="J37" ca="1">_xlfn.TEXTJOIN("", TRUE, IF(ISNUMBER(--MID(A37, ROW(INDIRECT("1:" &amp; LEN(A37))), 1)), MID(A37, ROW(INDIRECT("1:" &amp; LEN(A37))), 1), ""))</f>
        <v>07001482357</v>
      </c>
      <c r="K37" t="str">
        <f t="shared" si="0"/>
        <v>Mr. John Johnson – 07001482357</v>
      </c>
      <c r="L37" t="str">
        <f t="shared" si="1"/>
        <v>GAS COOKER</v>
      </c>
      <c r="M37" t="str">
        <f t="shared" si="2"/>
        <v>mr.</v>
      </c>
      <c r="N37" t="str">
        <f t="shared" si="3"/>
        <v>Mr. John Johnson  07001482357</v>
      </c>
      <c r="O37">
        <f t="shared" si="15"/>
        <v>2024</v>
      </c>
      <c r="P37">
        <f t="shared" si="5"/>
        <v>8</v>
      </c>
      <c r="Q37">
        <f t="shared" si="6"/>
        <v>26</v>
      </c>
      <c r="R37" s="4" t="str">
        <f t="shared" si="7"/>
        <v>August</v>
      </c>
      <c r="S37" t="str">
        <f t="shared" si="8"/>
        <v>Q3</v>
      </c>
      <c r="T37" t="str">
        <f t="shared" si="9"/>
        <v>Yes</v>
      </c>
      <c r="U37">
        <f t="shared" si="10"/>
        <v>167222.60999999999</v>
      </c>
      <c r="V37" t="str">
        <f t="shared" si="11"/>
        <v>Processed</v>
      </c>
      <c r="W37" t="str">
        <f t="shared" si="12"/>
        <v>Premium</v>
      </c>
      <c r="X37" t="str">
        <f t="shared" ca="1" si="13"/>
        <v>mr. John (07001482357)</v>
      </c>
      <c r="Y37" t="str">
        <f t="shared" si="14"/>
        <v>Dear mr. John Johnson, your purchase of Gas Cooker worth ₦ 167222.61 is Processed</v>
      </c>
    </row>
    <row r="38" spans="1:25" x14ac:dyDescent="0.25">
      <c r="A38" t="s">
        <v>41</v>
      </c>
      <c r="B38" s="3">
        <v>45630</v>
      </c>
      <c r="C38" t="s">
        <v>111</v>
      </c>
      <c r="D38" s="6">
        <v>107701</v>
      </c>
      <c r="E38" t="s">
        <v>115</v>
      </c>
      <c r="F38" t="s">
        <v>121</v>
      </c>
      <c r="G38" t="s">
        <v>126</v>
      </c>
      <c r="H38" t="s">
        <v>141</v>
      </c>
      <c r="I38" t="s">
        <v>155</v>
      </c>
      <c r="J38" t="str" cm="1">
        <f t="array" aca="1" ref="J38" ca="1">_xlfn.TEXTJOIN("", TRUE, IF(ISNUMBER(--MID(A38, ROW(INDIRECT("1:" &amp; LEN(A38))), 1)), MID(A38, ROW(INDIRECT("1:" &amp; LEN(A38))), 1), ""))</f>
        <v>07040672684</v>
      </c>
      <c r="K38" t="str">
        <f t="shared" si="0"/>
        <v>Miss. Joseph Olatunji – 07040672684</v>
      </c>
      <c r="L38" t="str">
        <f t="shared" si="1"/>
        <v>GAS COOKER</v>
      </c>
      <c r="M38" t="str">
        <f t="shared" si="2"/>
        <v>miss.</v>
      </c>
      <c r="N38" t="str">
        <f t="shared" si="3"/>
        <v>Miss. Joseph Olatunji  07040672684</v>
      </c>
      <c r="O38">
        <f t="shared" si="15"/>
        <v>2024</v>
      </c>
      <c r="P38">
        <f t="shared" si="5"/>
        <v>12</v>
      </c>
      <c r="Q38">
        <f t="shared" si="6"/>
        <v>4</v>
      </c>
      <c r="R38" s="4" t="str">
        <f t="shared" si="7"/>
        <v>December</v>
      </c>
      <c r="S38" t="str">
        <f t="shared" si="8"/>
        <v>Q4</v>
      </c>
      <c r="T38" t="str">
        <f t="shared" si="9"/>
        <v>Yes</v>
      </c>
      <c r="U38">
        <f t="shared" si="10"/>
        <v>107593.299</v>
      </c>
      <c r="V38" t="str">
        <f t="shared" si="11"/>
        <v>Pending</v>
      </c>
      <c r="W38" t="str">
        <f t="shared" si="12"/>
        <v>Premium</v>
      </c>
      <c r="X38" t="str">
        <f t="shared" ca="1" si="13"/>
        <v>miss. Joseph (07040672684)</v>
      </c>
      <c r="Y38" t="str">
        <f t="shared" si="14"/>
        <v>Dear miss. Joseph Olatunji, your purchase of Gas Cooker worth ₦ 107593.299 is Pending</v>
      </c>
    </row>
    <row r="39" spans="1:25" x14ac:dyDescent="0.25">
      <c r="A39" t="s">
        <v>42</v>
      </c>
      <c r="B39" s="3">
        <v>45504</v>
      </c>
      <c r="C39" t="s">
        <v>107</v>
      </c>
      <c r="D39" s="6">
        <v>193742</v>
      </c>
      <c r="E39" t="s">
        <v>117</v>
      </c>
      <c r="F39" t="s">
        <v>120</v>
      </c>
      <c r="G39" t="s">
        <v>134</v>
      </c>
      <c r="H39" t="s">
        <v>142</v>
      </c>
      <c r="I39" t="s">
        <v>153</v>
      </c>
      <c r="J39" t="str" cm="1">
        <f t="array" aca="1" ref="J39" ca="1">_xlfn.TEXTJOIN("", TRUE, IF(ISNUMBER(--MID(A39, ROW(INDIRECT("1:" &amp; LEN(A39))), 1)), MID(A39, ROW(INDIRECT("1:" &amp; LEN(A39))), 1), ""))</f>
        <v>07014125688</v>
      </c>
      <c r="K39" t="str">
        <f t="shared" si="0"/>
        <v>Dr. Funke Okafor – 07014125688</v>
      </c>
      <c r="L39" t="str">
        <f t="shared" si="1"/>
        <v>TOASTER</v>
      </c>
      <c r="M39" t="str">
        <f t="shared" si="2"/>
        <v>dr.</v>
      </c>
      <c r="N39" t="str">
        <f t="shared" si="3"/>
        <v>Dr. Funke Okafor  07014125688</v>
      </c>
      <c r="O39">
        <f t="shared" si="15"/>
        <v>2024</v>
      </c>
      <c r="P39">
        <f t="shared" si="5"/>
        <v>7</v>
      </c>
      <c r="Q39">
        <f t="shared" si="6"/>
        <v>31</v>
      </c>
      <c r="R39" s="4" t="str">
        <f t="shared" si="7"/>
        <v>July</v>
      </c>
      <c r="S39" t="str">
        <f t="shared" si="8"/>
        <v>Q3</v>
      </c>
      <c r="T39" t="str">
        <f t="shared" si="9"/>
        <v>Yes</v>
      </c>
      <c r="U39">
        <f t="shared" si="10"/>
        <v>193645.12899999999</v>
      </c>
      <c r="V39" t="str">
        <f t="shared" si="11"/>
        <v>Processed</v>
      </c>
      <c r="W39" t="str">
        <f t="shared" si="12"/>
        <v>Premium</v>
      </c>
      <c r="X39" t="str">
        <f t="shared" ca="1" si="13"/>
        <v>dr. Funke (07014125688)</v>
      </c>
      <c r="Y39" t="str">
        <f t="shared" si="14"/>
        <v>Dear dr. Funke Okafor, your purchase of Toaster worth ₦ 193645.129 is Processed</v>
      </c>
    </row>
    <row r="40" spans="1:25" x14ac:dyDescent="0.25">
      <c r="A40" t="s">
        <v>43</v>
      </c>
      <c r="B40" s="3">
        <v>45620</v>
      </c>
      <c r="C40" t="s">
        <v>105</v>
      </c>
      <c r="D40" s="6">
        <v>69244</v>
      </c>
      <c r="E40" t="s">
        <v>118</v>
      </c>
      <c r="F40" t="s">
        <v>121</v>
      </c>
      <c r="G40" t="s">
        <v>136</v>
      </c>
      <c r="H40" t="s">
        <v>162</v>
      </c>
      <c r="I40" t="s">
        <v>143</v>
      </c>
      <c r="J40" t="str" cm="1">
        <f t="array" aca="1" ref="J40" ca="1">_xlfn.TEXTJOIN("", TRUE, IF(ISNUMBER(--MID(A40, ROW(INDIRECT("1:" &amp; LEN(A40))), 1)), MID(A40, ROW(INDIRECT("1:" &amp; LEN(A40))), 1), ""))</f>
        <v>09071137900</v>
      </c>
      <c r="K40" t="str">
        <f t="shared" si="0"/>
        <v>Mr. Michael Okon – 09071137900</v>
      </c>
      <c r="L40" t="str">
        <f t="shared" si="1"/>
        <v>STANDING FAN</v>
      </c>
      <c r="M40" t="str">
        <f t="shared" si="2"/>
        <v>mr.</v>
      </c>
      <c r="N40" t="str">
        <f t="shared" si="3"/>
        <v>Mr. Michael Okon  09071137900</v>
      </c>
      <c r="O40">
        <f t="shared" si="15"/>
        <v>2024</v>
      </c>
      <c r="P40">
        <f t="shared" si="5"/>
        <v>11</v>
      </c>
      <c r="Q40">
        <f t="shared" si="6"/>
        <v>24</v>
      </c>
      <c r="R40" s="4" t="str">
        <f t="shared" si="7"/>
        <v>November</v>
      </c>
      <c r="S40" t="str">
        <f t="shared" si="8"/>
        <v>Q4</v>
      </c>
      <c r="T40" t="str">
        <f t="shared" si="9"/>
        <v>Yes</v>
      </c>
      <c r="U40">
        <f t="shared" si="10"/>
        <v>69244</v>
      </c>
      <c r="V40" t="str">
        <f t="shared" si="11"/>
        <v>Pending</v>
      </c>
      <c r="W40" t="str">
        <f t="shared" si="12"/>
        <v>Premium</v>
      </c>
      <c r="X40" t="str">
        <f t="shared" ca="1" si="13"/>
        <v>mr. Michael (09071137900)</v>
      </c>
      <c r="Y40" t="str">
        <f t="shared" si="14"/>
        <v>Dear mr. Michael Okon, your purchase of Standing Fan worth ₦ 69244 is Pending</v>
      </c>
    </row>
    <row r="41" spans="1:25" x14ac:dyDescent="0.25">
      <c r="A41" t="s">
        <v>44</v>
      </c>
      <c r="B41" s="3">
        <v>45535</v>
      </c>
      <c r="C41" t="s">
        <v>105</v>
      </c>
      <c r="D41" s="6">
        <v>194003</v>
      </c>
      <c r="E41" t="s">
        <v>118</v>
      </c>
      <c r="F41" t="s">
        <v>121</v>
      </c>
      <c r="G41" t="s">
        <v>134</v>
      </c>
      <c r="H41" t="s">
        <v>154</v>
      </c>
      <c r="I41" t="s">
        <v>153</v>
      </c>
      <c r="J41" t="str" cm="1">
        <f t="array" aca="1" ref="J41" ca="1">_xlfn.TEXTJOIN("", TRUE, IF(ISNUMBER(--MID(A41, ROW(INDIRECT("1:" &amp; LEN(A41))), 1)), MID(A41, ROW(INDIRECT("1:" &amp; LEN(A41))), 1), ""))</f>
        <v>09069396181</v>
      </c>
      <c r="K41" t="str">
        <f t="shared" si="0"/>
        <v>Dr. Grace Okafor – 09069396181</v>
      </c>
      <c r="L41" t="str">
        <f t="shared" si="1"/>
        <v>STANDING FAN</v>
      </c>
      <c r="M41" t="str">
        <f t="shared" si="2"/>
        <v>dr.</v>
      </c>
      <c r="N41" t="str">
        <f t="shared" si="3"/>
        <v>Dr. Grace Okafor  09069396181</v>
      </c>
      <c r="O41">
        <f t="shared" si="15"/>
        <v>2024</v>
      </c>
      <c r="P41">
        <f t="shared" si="5"/>
        <v>8</v>
      </c>
      <c r="Q41">
        <f t="shared" si="6"/>
        <v>31</v>
      </c>
      <c r="R41" s="4" t="str">
        <f t="shared" si="7"/>
        <v>August</v>
      </c>
      <c r="S41" t="str">
        <f t="shared" si="8"/>
        <v>Q3</v>
      </c>
      <c r="T41" t="str">
        <f t="shared" si="9"/>
        <v>Yes</v>
      </c>
      <c r="U41">
        <f t="shared" si="10"/>
        <v>194003</v>
      </c>
      <c r="V41" t="str">
        <f t="shared" si="11"/>
        <v>Pending</v>
      </c>
      <c r="W41" t="str">
        <f t="shared" si="12"/>
        <v>Premium</v>
      </c>
      <c r="X41" t="str">
        <f t="shared" ca="1" si="13"/>
        <v>dr. Grace (09069396181)</v>
      </c>
      <c r="Y41" t="str">
        <f t="shared" si="14"/>
        <v>Dear dr. Grace Okafor, your purchase of Standing Fan worth ₦ 194003 is Pending</v>
      </c>
    </row>
    <row r="42" spans="1:25" x14ac:dyDescent="0.25">
      <c r="A42" t="s">
        <v>45</v>
      </c>
      <c r="B42" s="3">
        <v>45505</v>
      </c>
      <c r="C42" t="s">
        <v>109</v>
      </c>
      <c r="D42" s="6">
        <v>160666</v>
      </c>
      <c r="E42" t="s">
        <v>116</v>
      </c>
      <c r="F42" t="s">
        <v>121</v>
      </c>
      <c r="G42" t="s">
        <v>136</v>
      </c>
      <c r="H42" t="s">
        <v>148</v>
      </c>
      <c r="I42" t="s">
        <v>137</v>
      </c>
      <c r="J42" t="str" cm="1">
        <f t="array" aca="1" ref="J42" ca="1">_xlfn.TEXTJOIN("", TRUE, IF(ISNUMBER(--MID(A42, ROW(INDIRECT("1:" &amp; LEN(A42))), 1)), MID(A42, ROW(INDIRECT("1:" &amp; LEN(A42))), 1), ""))</f>
        <v>08019900057</v>
      </c>
      <c r="K42" t="str">
        <f t="shared" si="0"/>
        <v>Mr. Emeka Ade – 08019900057</v>
      </c>
      <c r="L42" t="str">
        <f t="shared" si="1"/>
        <v>IRON</v>
      </c>
      <c r="M42" t="str">
        <f t="shared" si="2"/>
        <v>mr.</v>
      </c>
      <c r="N42" t="str">
        <f t="shared" si="3"/>
        <v>Mr. Emeka Ade  08019900057</v>
      </c>
      <c r="O42">
        <f t="shared" si="15"/>
        <v>2024</v>
      </c>
      <c r="P42">
        <f t="shared" si="5"/>
        <v>8</v>
      </c>
      <c r="Q42">
        <f t="shared" si="6"/>
        <v>1</v>
      </c>
      <c r="R42" s="4" t="str">
        <f t="shared" si="7"/>
        <v>August</v>
      </c>
      <c r="S42" t="str">
        <f t="shared" si="8"/>
        <v>Q3</v>
      </c>
      <c r="T42" t="str">
        <f t="shared" si="9"/>
        <v>Yes</v>
      </c>
      <c r="U42">
        <f t="shared" si="10"/>
        <v>160344.66800000001</v>
      </c>
      <c r="V42" t="str">
        <f t="shared" si="11"/>
        <v>Pending</v>
      </c>
      <c r="W42" t="str">
        <f t="shared" si="12"/>
        <v>Premium</v>
      </c>
      <c r="X42" t="str">
        <f t="shared" ca="1" si="13"/>
        <v>mr. Emeka (08019900057)</v>
      </c>
      <c r="Y42" t="str">
        <f t="shared" si="14"/>
        <v>Dear mr. Emeka Ade, your purchase of Iron worth ₦ 160344.668 is Pending</v>
      </c>
    </row>
    <row r="43" spans="1:25" x14ac:dyDescent="0.25">
      <c r="A43" t="s">
        <v>46</v>
      </c>
      <c r="B43" s="3">
        <v>45634</v>
      </c>
      <c r="C43" t="s">
        <v>105</v>
      </c>
      <c r="D43" s="6">
        <v>126898</v>
      </c>
      <c r="E43" t="s">
        <v>117</v>
      </c>
      <c r="F43" t="s">
        <v>120</v>
      </c>
      <c r="G43" t="s">
        <v>134</v>
      </c>
      <c r="H43" t="s">
        <v>148</v>
      </c>
      <c r="I43" t="s">
        <v>160</v>
      </c>
      <c r="J43" t="str" cm="1">
        <f t="array" aca="1" ref="J43" ca="1">_xlfn.TEXTJOIN("", TRUE, IF(ISNUMBER(--MID(A43, ROW(INDIRECT("1:" &amp; LEN(A43))), 1)), MID(A43, ROW(INDIRECT("1:" &amp; LEN(A43))), 1), ""))</f>
        <v>08121676112</v>
      </c>
      <c r="K43" t="str">
        <f t="shared" si="0"/>
        <v>Dr. Emeka Balogun – 08121676112</v>
      </c>
      <c r="L43" t="str">
        <f t="shared" si="1"/>
        <v>STANDING FAN</v>
      </c>
      <c r="M43" t="str">
        <f t="shared" si="2"/>
        <v>dr.</v>
      </c>
      <c r="N43" t="str">
        <f t="shared" si="3"/>
        <v>Dr. Emeka Balogun  08121676112</v>
      </c>
      <c r="O43">
        <f t="shared" si="15"/>
        <v>2024</v>
      </c>
      <c r="P43">
        <f t="shared" si="5"/>
        <v>12</v>
      </c>
      <c r="Q43">
        <f t="shared" si="6"/>
        <v>8</v>
      </c>
      <c r="R43" s="4" t="str">
        <f t="shared" si="7"/>
        <v>December</v>
      </c>
      <c r="S43" t="str">
        <f t="shared" si="8"/>
        <v>Q4</v>
      </c>
      <c r="T43" t="str">
        <f t="shared" si="9"/>
        <v>Yes</v>
      </c>
      <c r="U43">
        <f t="shared" si="10"/>
        <v>126834.55100000001</v>
      </c>
      <c r="V43" t="str">
        <f t="shared" si="11"/>
        <v>Processed</v>
      </c>
      <c r="W43" t="str">
        <f t="shared" si="12"/>
        <v>Premium</v>
      </c>
      <c r="X43" t="str">
        <f t="shared" ca="1" si="13"/>
        <v>dr. Emeka (08121676112)</v>
      </c>
      <c r="Y43" t="str">
        <f t="shared" si="14"/>
        <v>Dear dr. Emeka Balogun, your purchase of Standing Fan worth ₦ 126834.551 is Processed</v>
      </c>
    </row>
    <row r="44" spans="1:25" x14ac:dyDescent="0.25">
      <c r="A44" t="s">
        <v>47</v>
      </c>
      <c r="B44" s="3">
        <v>45307</v>
      </c>
      <c r="C44" t="s">
        <v>106</v>
      </c>
      <c r="D44" s="6">
        <v>48664</v>
      </c>
      <c r="E44" t="s">
        <v>116</v>
      </c>
      <c r="F44" t="s">
        <v>120</v>
      </c>
      <c r="G44" t="s">
        <v>123</v>
      </c>
      <c r="H44" t="s">
        <v>144</v>
      </c>
      <c r="I44" t="s">
        <v>137</v>
      </c>
      <c r="J44" t="str" cm="1">
        <f t="array" aca="1" ref="J44" ca="1">_xlfn.TEXTJOIN("", TRUE, IF(ISNUMBER(--MID(A44, ROW(INDIRECT("1:" &amp; LEN(A44))), 1)), MID(A44, ROW(INDIRECT("1:" &amp; LEN(A44))), 1), ""))</f>
        <v>07000863074</v>
      </c>
      <c r="K44" t="str">
        <f t="shared" si="0"/>
        <v>Mrs. Hassan Ade – 07000863074</v>
      </c>
      <c r="L44" t="str">
        <f t="shared" si="1"/>
        <v>WASHING MACHINE</v>
      </c>
      <c r="M44" t="str">
        <f t="shared" si="2"/>
        <v>mrs.</v>
      </c>
      <c r="N44" t="str">
        <f t="shared" si="3"/>
        <v>Mrs. Hassan Ade  07000863074</v>
      </c>
      <c r="O44">
        <f t="shared" si="15"/>
        <v>2024</v>
      </c>
      <c r="P44">
        <f t="shared" si="5"/>
        <v>1</v>
      </c>
      <c r="Q44">
        <f t="shared" si="6"/>
        <v>16</v>
      </c>
      <c r="R44" s="4" t="str">
        <f t="shared" si="7"/>
        <v>January</v>
      </c>
      <c r="S44" t="str">
        <f t="shared" si="8"/>
        <v>Q1</v>
      </c>
      <c r="T44" t="str">
        <f t="shared" si="9"/>
        <v>Yes</v>
      </c>
      <c r="U44">
        <f t="shared" si="10"/>
        <v>48566.671999999999</v>
      </c>
      <c r="V44" t="str">
        <f t="shared" si="11"/>
        <v>Processed</v>
      </c>
      <c r="W44" t="str">
        <f t="shared" si="12"/>
        <v>Regular</v>
      </c>
      <c r="X44" t="str">
        <f t="shared" ca="1" si="13"/>
        <v>mrs. Hassan (07000863074)</v>
      </c>
      <c r="Y44" t="str">
        <f t="shared" si="14"/>
        <v>Dear mrs. Hassan Ade, your purchase of Washing Machine worth ₦ 48566.672 is Processed</v>
      </c>
    </row>
    <row r="45" spans="1:25" x14ac:dyDescent="0.25">
      <c r="A45" t="s">
        <v>48</v>
      </c>
      <c r="B45" s="3">
        <v>45322</v>
      </c>
      <c r="C45" t="s">
        <v>107</v>
      </c>
      <c r="D45" s="6">
        <v>42496</v>
      </c>
      <c r="E45" t="s">
        <v>115</v>
      </c>
      <c r="F45" t="s">
        <v>122</v>
      </c>
      <c r="G45" t="s">
        <v>126</v>
      </c>
      <c r="H45" t="s">
        <v>128</v>
      </c>
      <c r="I45" t="s">
        <v>159</v>
      </c>
      <c r="J45" t="str" cm="1">
        <f t="array" aca="1" ref="J45" ca="1">_xlfn.TEXTJOIN("", TRUE, IF(ISNUMBER(--MID(A45, ROW(INDIRECT("1:" &amp; LEN(A45))), 1)), MID(A45, ROW(INDIRECT("1:" &amp; LEN(A45))), 1), ""))</f>
        <v>08170250091</v>
      </c>
      <c r="K45" t="str">
        <f t="shared" si="0"/>
        <v>Miss. Peter Afolabi – 08170250091</v>
      </c>
      <c r="L45" t="str">
        <f t="shared" si="1"/>
        <v>TOASTER</v>
      </c>
      <c r="M45" t="str">
        <f t="shared" si="2"/>
        <v>miss.</v>
      </c>
      <c r="N45" t="str">
        <f t="shared" si="3"/>
        <v>Miss. Peter Afolabi  08170250091</v>
      </c>
      <c r="O45">
        <f t="shared" si="15"/>
        <v>2024</v>
      </c>
      <c r="P45">
        <f t="shared" si="5"/>
        <v>1</v>
      </c>
      <c r="Q45">
        <f t="shared" si="6"/>
        <v>31</v>
      </c>
      <c r="R45" s="4" t="str">
        <f t="shared" si="7"/>
        <v>January</v>
      </c>
      <c r="S45" t="str">
        <f t="shared" si="8"/>
        <v>Q1</v>
      </c>
      <c r="T45" t="str">
        <f t="shared" si="9"/>
        <v>Yes</v>
      </c>
      <c r="U45">
        <f t="shared" si="10"/>
        <v>42453.504000000001</v>
      </c>
      <c r="V45" t="str">
        <f t="shared" si="11"/>
        <v>Processed</v>
      </c>
      <c r="W45" t="str">
        <f t="shared" si="12"/>
        <v>Regular</v>
      </c>
      <c r="X45" t="str">
        <f t="shared" ca="1" si="13"/>
        <v>miss. Peter (08170250091)</v>
      </c>
      <c r="Y45" t="str">
        <f t="shared" si="14"/>
        <v>Dear miss. Peter Afolabi, your purchase of Toaster worth ₦ 42453.504 is Processed</v>
      </c>
    </row>
    <row r="46" spans="1:25" x14ac:dyDescent="0.25">
      <c r="A46" t="s">
        <v>49</v>
      </c>
      <c r="B46" s="3">
        <v>45537</v>
      </c>
      <c r="C46" t="s">
        <v>111</v>
      </c>
      <c r="D46" s="6">
        <v>23526</v>
      </c>
      <c r="E46" t="s">
        <v>117</v>
      </c>
      <c r="F46" t="s">
        <v>120</v>
      </c>
      <c r="G46" t="s">
        <v>136</v>
      </c>
      <c r="H46" t="s">
        <v>128</v>
      </c>
      <c r="I46" t="s">
        <v>163</v>
      </c>
      <c r="J46" t="str" cm="1">
        <f t="array" aca="1" ref="J46" ca="1">_xlfn.TEXTJOIN("", TRUE, IF(ISNUMBER(--MID(A46, ROW(INDIRECT("1:" &amp; LEN(A46))), 1)), MID(A46, ROW(INDIRECT("1:" &amp; LEN(A46))), 1), ""))</f>
        <v>07063668440</v>
      </c>
      <c r="K46" t="str">
        <f t="shared" si="0"/>
        <v>Mr. Peter Agbo – 07063668440</v>
      </c>
      <c r="L46" t="str">
        <f t="shared" si="1"/>
        <v>GAS COOKER</v>
      </c>
      <c r="M46" t="str">
        <f t="shared" si="2"/>
        <v>mr.</v>
      </c>
      <c r="N46" t="str">
        <f t="shared" si="3"/>
        <v>Mr. Peter Agbo  07063668440</v>
      </c>
      <c r="O46">
        <f t="shared" si="15"/>
        <v>2024</v>
      </c>
      <c r="P46">
        <f t="shared" si="5"/>
        <v>9</v>
      </c>
      <c r="Q46">
        <f t="shared" si="6"/>
        <v>2</v>
      </c>
      <c r="R46" s="4" t="str">
        <f t="shared" si="7"/>
        <v>September</v>
      </c>
      <c r="S46" t="str">
        <f t="shared" si="8"/>
        <v>Q3</v>
      </c>
      <c r="T46" t="str">
        <f t="shared" si="9"/>
        <v>Yes</v>
      </c>
      <c r="U46">
        <f t="shared" si="10"/>
        <v>23514.237000000001</v>
      </c>
      <c r="V46" t="str">
        <f t="shared" si="11"/>
        <v>Processed</v>
      </c>
      <c r="W46" t="str">
        <f t="shared" si="12"/>
        <v>Regular</v>
      </c>
      <c r="X46" t="str">
        <f t="shared" ca="1" si="13"/>
        <v>mr. Peter (07063668440)</v>
      </c>
      <c r="Y46" t="str">
        <f t="shared" si="14"/>
        <v>Dear mr. Peter Agbo, your purchase of Gas Cooker worth ₦ 23514.237 is Processed</v>
      </c>
    </row>
    <row r="47" spans="1:25" x14ac:dyDescent="0.25">
      <c r="A47" t="s">
        <v>50</v>
      </c>
      <c r="B47" s="3">
        <v>45405</v>
      </c>
      <c r="C47" t="s">
        <v>110</v>
      </c>
      <c r="D47" s="6">
        <v>31906</v>
      </c>
      <c r="E47" t="s">
        <v>119</v>
      </c>
      <c r="F47" t="s">
        <v>121</v>
      </c>
      <c r="G47" t="s">
        <v>136</v>
      </c>
      <c r="H47" t="s">
        <v>124</v>
      </c>
      <c r="I47" t="s">
        <v>163</v>
      </c>
      <c r="J47" t="str" cm="1">
        <f t="array" aca="1" ref="J47" ca="1">_xlfn.TEXTJOIN("", TRUE, IF(ISNUMBER(--MID(A47, ROW(INDIRECT("1:" &amp; LEN(A47))), 1)), MID(A47, ROW(INDIRECT("1:" &amp; LEN(A47))), 1), ""))</f>
        <v>09053193454</v>
      </c>
      <c r="K47" t="str">
        <f t="shared" si="0"/>
        <v>Mr. Chidi Agbo – 09053193454</v>
      </c>
      <c r="L47" t="str">
        <f t="shared" si="1"/>
        <v>BLENDER</v>
      </c>
      <c r="M47" t="str">
        <f t="shared" si="2"/>
        <v>mr.</v>
      </c>
      <c r="N47" t="str">
        <f t="shared" si="3"/>
        <v>Mr. Chidi Agbo  09053193454</v>
      </c>
      <c r="O47">
        <f t="shared" si="15"/>
        <v>2024</v>
      </c>
      <c r="P47">
        <f t="shared" si="5"/>
        <v>4</v>
      </c>
      <c r="Q47">
        <f t="shared" si="6"/>
        <v>23</v>
      </c>
      <c r="R47" s="4" t="str">
        <f t="shared" si="7"/>
        <v>April</v>
      </c>
      <c r="S47" t="str">
        <f t="shared" si="8"/>
        <v>Q2</v>
      </c>
      <c r="T47" t="str">
        <f t="shared" si="9"/>
        <v>Yes</v>
      </c>
      <c r="U47">
        <f t="shared" si="10"/>
        <v>31858.141</v>
      </c>
      <c r="V47" t="str">
        <f t="shared" si="11"/>
        <v>Pending</v>
      </c>
      <c r="W47" t="str">
        <f t="shared" si="12"/>
        <v>Regular</v>
      </c>
      <c r="X47" t="str">
        <f t="shared" ca="1" si="13"/>
        <v>mr. Chidi (09053193454)</v>
      </c>
      <c r="Y47" t="str">
        <f t="shared" si="14"/>
        <v>Dear mr. Chidi Agbo, your purchase of Blender worth ₦ 31858.141 is Pending</v>
      </c>
    </row>
    <row r="48" spans="1:25" x14ac:dyDescent="0.25">
      <c r="A48" t="s">
        <v>51</v>
      </c>
      <c r="B48" s="3">
        <v>45380</v>
      </c>
      <c r="C48" t="s">
        <v>109</v>
      </c>
      <c r="D48" s="6">
        <v>40603</v>
      </c>
      <c r="E48" t="s">
        <v>119</v>
      </c>
      <c r="F48" t="s">
        <v>122</v>
      </c>
      <c r="G48" t="s">
        <v>136</v>
      </c>
      <c r="H48" t="s">
        <v>142</v>
      </c>
      <c r="I48" t="s">
        <v>145</v>
      </c>
      <c r="J48" t="str" cm="1">
        <f t="array" aca="1" ref="J48" ca="1">_xlfn.TEXTJOIN("", TRUE, IF(ISNUMBER(--MID(A48, ROW(INDIRECT("1:" &amp; LEN(A48))), 1)), MID(A48, ROW(INDIRECT("1:" &amp; LEN(A48))), 1), ""))</f>
        <v>07016161876</v>
      </c>
      <c r="K48" t="str">
        <f t="shared" si="0"/>
        <v>Mr. Funke Eze – 07016161876</v>
      </c>
      <c r="L48" t="str">
        <f t="shared" si="1"/>
        <v>IRON</v>
      </c>
      <c r="M48" t="str">
        <f t="shared" si="2"/>
        <v>mr.</v>
      </c>
      <c r="N48" t="str">
        <f t="shared" si="3"/>
        <v>Mr. Funke Eze  07016161876</v>
      </c>
      <c r="O48">
        <f t="shared" si="15"/>
        <v>2024</v>
      </c>
      <c r="P48">
        <f t="shared" si="5"/>
        <v>3</v>
      </c>
      <c r="Q48">
        <f t="shared" si="6"/>
        <v>29</v>
      </c>
      <c r="R48" s="4" t="str">
        <f t="shared" si="7"/>
        <v>March</v>
      </c>
      <c r="S48" t="str">
        <f t="shared" si="8"/>
        <v>Q1</v>
      </c>
      <c r="T48" t="str">
        <f t="shared" si="9"/>
        <v>Yes</v>
      </c>
      <c r="U48">
        <f t="shared" si="10"/>
        <v>40542.095500000003</v>
      </c>
      <c r="V48" t="str">
        <f t="shared" si="11"/>
        <v>Processed</v>
      </c>
      <c r="W48" t="str">
        <f t="shared" si="12"/>
        <v>Regular</v>
      </c>
      <c r="X48" t="str">
        <f t="shared" ca="1" si="13"/>
        <v>mr. Funke (07016161876)</v>
      </c>
      <c r="Y48" t="str">
        <f t="shared" si="14"/>
        <v>Dear mr. Funke Eze, your purchase of Iron worth ₦ 40542.0955 is Processed</v>
      </c>
    </row>
    <row r="49" spans="1:25" x14ac:dyDescent="0.25">
      <c r="A49" t="s">
        <v>52</v>
      </c>
      <c r="B49" s="3">
        <v>45477</v>
      </c>
      <c r="C49" t="s">
        <v>112</v>
      </c>
      <c r="D49" s="6">
        <v>90621</v>
      </c>
      <c r="E49" t="s">
        <v>118</v>
      </c>
      <c r="F49" t="s">
        <v>120</v>
      </c>
      <c r="G49" t="s">
        <v>123</v>
      </c>
      <c r="H49" t="s">
        <v>162</v>
      </c>
      <c r="I49" t="s">
        <v>127</v>
      </c>
      <c r="J49" t="str" cm="1">
        <f t="array" aca="1" ref="J49" ca="1">_xlfn.TEXTJOIN("", TRUE, IF(ISNUMBER(--MID(A49, ROW(INDIRECT("1:" &amp; LEN(A49))), 1)), MID(A49, ROW(INDIRECT("1:" &amp; LEN(A49))), 1), ""))</f>
        <v>08141125667</v>
      </c>
      <c r="K49" t="str">
        <f t="shared" si="0"/>
        <v>Mrs. Michael Ijeoma – 08141125667</v>
      </c>
      <c r="L49" t="str">
        <f t="shared" si="1"/>
        <v>CEILING FAN</v>
      </c>
      <c r="M49" t="str">
        <f t="shared" si="2"/>
        <v>mrs.</v>
      </c>
      <c r="N49" t="str">
        <f t="shared" si="3"/>
        <v>Mrs. Michael Ijeoma  08141125667</v>
      </c>
      <c r="O49">
        <f t="shared" si="15"/>
        <v>2024</v>
      </c>
      <c r="P49">
        <f t="shared" si="5"/>
        <v>7</v>
      </c>
      <c r="Q49">
        <f t="shared" si="6"/>
        <v>4</v>
      </c>
      <c r="R49" s="4" t="str">
        <f t="shared" si="7"/>
        <v>July</v>
      </c>
      <c r="S49" t="str">
        <f t="shared" si="8"/>
        <v>Q3</v>
      </c>
      <c r="T49" t="str">
        <f t="shared" si="9"/>
        <v>Yes</v>
      </c>
      <c r="U49">
        <f t="shared" si="10"/>
        <v>90621</v>
      </c>
      <c r="V49" t="str">
        <f t="shared" si="11"/>
        <v>Processed</v>
      </c>
      <c r="W49" t="str">
        <f t="shared" si="12"/>
        <v>Premium</v>
      </c>
      <c r="X49" t="str">
        <f t="shared" ca="1" si="13"/>
        <v>mrs. Michael (08141125667)</v>
      </c>
      <c r="Y49" t="str">
        <f t="shared" si="14"/>
        <v>Dear mrs. Michael Ijeoma, your purchase of Ceiling Fan worth ₦ 90621 is Processed</v>
      </c>
    </row>
    <row r="50" spans="1:25" x14ac:dyDescent="0.25">
      <c r="A50" t="s">
        <v>53</v>
      </c>
      <c r="B50" s="3">
        <v>45307</v>
      </c>
      <c r="C50" t="s">
        <v>105</v>
      </c>
      <c r="D50" s="6">
        <v>165919</v>
      </c>
      <c r="E50" t="s">
        <v>119</v>
      </c>
      <c r="F50" t="s">
        <v>120</v>
      </c>
      <c r="G50" t="s">
        <v>123</v>
      </c>
      <c r="H50" t="s">
        <v>161</v>
      </c>
      <c r="I50" t="s">
        <v>159</v>
      </c>
      <c r="J50" t="str" cm="1">
        <f t="array" aca="1" ref="J50" ca="1">_xlfn.TEXTJOIN("", TRUE, IF(ISNUMBER(--MID(A50, ROW(INDIRECT("1:" &amp; LEN(A50))), 1)), MID(A50, ROW(INDIRECT("1:" &amp; LEN(A50))), 1), ""))</f>
        <v>08037538283</v>
      </c>
      <c r="K50" t="str">
        <f t="shared" si="0"/>
        <v>Mrs. John Afolabi – 08037538283</v>
      </c>
      <c r="L50" t="str">
        <f t="shared" si="1"/>
        <v>STANDING FAN</v>
      </c>
      <c r="M50" t="str">
        <f t="shared" si="2"/>
        <v>mrs.</v>
      </c>
      <c r="N50" t="str">
        <f t="shared" si="3"/>
        <v>Mrs. John Afolabi  08037538283</v>
      </c>
      <c r="O50">
        <f t="shared" si="15"/>
        <v>2024</v>
      </c>
      <c r="P50">
        <f t="shared" si="5"/>
        <v>1</v>
      </c>
      <c r="Q50">
        <f t="shared" si="6"/>
        <v>16</v>
      </c>
      <c r="R50" s="4" t="str">
        <f t="shared" si="7"/>
        <v>January</v>
      </c>
      <c r="S50" t="str">
        <f t="shared" si="8"/>
        <v>Q1</v>
      </c>
      <c r="T50" t="str">
        <f t="shared" si="9"/>
        <v>Yes</v>
      </c>
      <c r="U50">
        <f t="shared" si="10"/>
        <v>165670.12150000001</v>
      </c>
      <c r="V50" t="str">
        <f t="shared" si="11"/>
        <v>Processed</v>
      </c>
      <c r="W50" t="str">
        <f t="shared" si="12"/>
        <v>Premium</v>
      </c>
      <c r="X50" t="str">
        <f t="shared" ca="1" si="13"/>
        <v>mrs. John (08037538283)</v>
      </c>
      <c r="Y50" t="str">
        <f t="shared" si="14"/>
        <v>Dear mrs. John Afolabi, your purchase of Standing Fan worth ₦ 165670.1215 is Processed</v>
      </c>
    </row>
    <row r="51" spans="1:25" x14ac:dyDescent="0.25">
      <c r="A51" t="s">
        <v>54</v>
      </c>
      <c r="B51" s="3">
        <v>45571</v>
      </c>
      <c r="C51" t="s">
        <v>106</v>
      </c>
      <c r="D51" s="6">
        <v>113410</v>
      </c>
      <c r="E51" t="s">
        <v>115</v>
      </c>
      <c r="F51" t="s">
        <v>120</v>
      </c>
      <c r="G51" t="s">
        <v>134</v>
      </c>
      <c r="H51" t="s">
        <v>124</v>
      </c>
      <c r="I51" t="s">
        <v>145</v>
      </c>
      <c r="J51" t="str" cm="1">
        <f t="array" aca="1" ref="J51" ca="1">_xlfn.TEXTJOIN("", TRUE, IF(ISNUMBER(--MID(A51, ROW(INDIRECT("1:" &amp; LEN(A51))), 1)), MID(A51, ROW(INDIRECT("1:" &amp; LEN(A51))), 1), ""))</f>
        <v>08141236872</v>
      </c>
      <c r="K51" t="str">
        <f t="shared" si="0"/>
        <v>Dr. Chidi Eze – 08141236872</v>
      </c>
      <c r="L51" t="str">
        <f t="shared" si="1"/>
        <v>WASHING MACHINE</v>
      </c>
      <c r="M51" t="str">
        <f t="shared" si="2"/>
        <v>dr.</v>
      </c>
      <c r="N51" t="str">
        <f t="shared" si="3"/>
        <v>Dr. Chidi Eze  08141236872</v>
      </c>
      <c r="O51">
        <f t="shared" si="15"/>
        <v>2024</v>
      </c>
      <c r="P51">
        <f t="shared" si="5"/>
        <v>10</v>
      </c>
      <c r="Q51">
        <f t="shared" si="6"/>
        <v>6</v>
      </c>
      <c r="R51" s="4" t="str">
        <f t="shared" si="7"/>
        <v>October</v>
      </c>
      <c r="S51" t="str">
        <f t="shared" si="8"/>
        <v>Q4</v>
      </c>
      <c r="T51" t="str">
        <f t="shared" si="9"/>
        <v>Yes</v>
      </c>
      <c r="U51">
        <f t="shared" si="10"/>
        <v>113296.59</v>
      </c>
      <c r="V51" t="str">
        <f t="shared" si="11"/>
        <v>Processed</v>
      </c>
      <c r="W51" t="str">
        <f t="shared" si="12"/>
        <v>Premium</v>
      </c>
      <c r="X51" t="str">
        <f t="shared" ca="1" si="13"/>
        <v>dr. Chidi (08141236872)</v>
      </c>
      <c r="Y51" t="str">
        <f t="shared" si="14"/>
        <v>Dear dr. Chidi Eze, your purchase of Washing Machine worth ₦ 113296.59 is Processed</v>
      </c>
    </row>
    <row r="52" spans="1:25" x14ac:dyDescent="0.25">
      <c r="A52" t="s">
        <v>55</v>
      </c>
      <c r="B52" s="3">
        <v>45545</v>
      </c>
      <c r="C52" t="s">
        <v>110</v>
      </c>
      <c r="D52" s="6">
        <v>136150</v>
      </c>
      <c r="E52" t="s">
        <v>115</v>
      </c>
      <c r="F52" t="s">
        <v>121</v>
      </c>
      <c r="G52" t="s">
        <v>123</v>
      </c>
      <c r="H52" t="s">
        <v>138</v>
      </c>
      <c r="I52" t="s">
        <v>149</v>
      </c>
      <c r="J52" t="str" cm="1">
        <f t="array" aca="1" ref="J52" ca="1">_xlfn.TEXTJOIN("", TRUE, IF(ISNUMBER(--MID(A52, ROW(INDIRECT("1:" &amp; LEN(A52))), 1)), MID(A52, ROW(INDIRECT("1:" &amp; LEN(A52))), 1), ""))</f>
        <v>07083372683</v>
      </c>
      <c r="K52" t="str">
        <f t="shared" si="0"/>
        <v>Mrs. Halima Olawale – 07083372683</v>
      </c>
      <c r="L52" t="str">
        <f t="shared" si="1"/>
        <v>BLENDER</v>
      </c>
      <c r="M52" t="str">
        <f t="shared" si="2"/>
        <v>mrs.</v>
      </c>
      <c r="N52" t="str">
        <f t="shared" si="3"/>
        <v>Mrs. Halima Olawale  07083372683</v>
      </c>
      <c r="O52">
        <f t="shared" si="15"/>
        <v>2024</v>
      </c>
      <c r="P52">
        <f t="shared" si="5"/>
        <v>9</v>
      </c>
      <c r="Q52">
        <f t="shared" si="6"/>
        <v>10</v>
      </c>
      <c r="R52" s="4" t="str">
        <f t="shared" si="7"/>
        <v>September</v>
      </c>
      <c r="S52" t="str">
        <f t="shared" si="8"/>
        <v>Q3</v>
      </c>
      <c r="T52" t="str">
        <f t="shared" si="9"/>
        <v>Yes</v>
      </c>
      <c r="U52">
        <f t="shared" si="10"/>
        <v>136013.85</v>
      </c>
      <c r="V52" t="str">
        <f t="shared" si="11"/>
        <v>Pending</v>
      </c>
      <c r="W52" t="str">
        <f t="shared" si="12"/>
        <v>Premium</v>
      </c>
      <c r="X52" t="str">
        <f t="shared" ca="1" si="13"/>
        <v>mrs. Halima (07083372683)</v>
      </c>
      <c r="Y52" t="str">
        <f t="shared" si="14"/>
        <v>Dear mrs. Halima Olawale, your purchase of Blender worth ₦ 136013.85 is Pending</v>
      </c>
    </row>
    <row r="53" spans="1:25" x14ac:dyDescent="0.25">
      <c r="A53" t="s">
        <v>56</v>
      </c>
      <c r="B53" s="3">
        <v>45315</v>
      </c>
      <c r="C53" t="s">
        <v>110</v>
      </c>
      <c r="D53" s="6">
        <v>139913</v>
      </c>
      <c r="E53" t="s">
        <v>118</v>
      </c>
      <c r="F53" t="s">
        <v>121</v>
      </c>
      <c r="G53" t="s">
        <v>126</v>
      </c>
      <c r="H53" t="s">
        <v>164</v>
      </c>
      <c r="I53" t="s">
        <v>125</v>
      </c>
      <c r="J53" t="str" cm="1">
        <f t="array" aca="1" ref="J53" ca="1">_xlfn.TEXTJOIN("", TRUE, IF(ISNUMBER(--MID(A53, ROW(INDIRECT("1:" &amp; LEN(A53))), 1)), MID(A53, ROW(INDIRECT("1:" &amp; LEN(A53))), 1), ""))</f>
        <v>08147406706</v>
      </c>
      <c r="K53" t="str">
        <f t="shared" si="0"/>
        <v>Miss. Mary Lawal – 08147406706</v>
      </c>
      <c r="L53" t="str">
        <f t="shared" si="1"/>
        <v>BLENDER</v>
      </c>
      <c r="M53" t="str">
        <f t="shared" si="2"/>
        <v>miss.</v>
      </c>
      <c r="N53" t="str">
        <f t="shared" si="3"/>
        <v>Miss. Mary Lawal  08147406706</v>
      </c>
      <c r="O53">
        <f t="shared" si="15"/>
        <v>2024</v>
      </c>
      <c r="P53">
        <f t="shared" si="5"/>
        <v>1</v>
      </c>
      <c r="Q53">
        <f t="shared" si="6"/>
        <v>24</v>
      </c>
      <c r="R53" s="4" t="str">
        <f t="shared" si="7"/>
        <v>January</v>
      </c>
      <c r="S53" t="str">
        <f t="shared" si="8"/>
        <v>Q1</v>
      </c>
      <c r="T53" t="str">
        <f t="shared" si="9"/>
        <v>Yes</v>
      </c>
      <c r="U53">
        <f t="shared" si="10"/>
        <v>139913</v>
      </c>
      <c r="V53" t="str">
        <f t="shared" si="11"/>
        <v>Pending</v>
      </c>
      <c r="W53" t="str">
        <f t="shared" si="12"/>
        <v>Premium</v>
      </c>
      <c r="X53" t="str">
        <f t="shared" ca="1" si="13"/>
        <v>miss. Mary (08147406706)</v>
      </c>
      <c r="Y53" t="str">
        <f t="shared" si="14"/>
        <v>Dear miss. Mary Lawal, your purchase of Blender worth ₦ 139913 is Pending</v>
      </c>
    </row>
    <row r="54" spans="1:25" x14ac:dyDescent="0.25">
      <c r="A54" t="s">
        <v>57</v>
      </c>
      <c r="B54" s="3">
        <v>45519</v>
      </c>
      <c r="C54" t="s">
        <v>108</v>
      </c>
      <c r="D54" s="6">
        <v>60610</v>
      </c>
      <c r="E54" t="s">
        <v>117</v>
      </c>
      <c r="F54" t="s">
        <v>120</v>
      </c>
      <c r="G54" t="s">
        <v>136</v>
      </c>
      <c r="H54" t="s">
        <v>124</v>
      </c>
      <c r="I54" t="s">
        <v>159</v>
      </c>
      <c r="J54" t="str" cm="1">
        <f t="array" aca="1" ref="J54" ca="1">_xlfn.TEXTJOIN("", TRUE, IF(ISNUMBER(--MID(A54, ROW(INDIRECT("1:" &amp; LEN(A54))), 1)), MID(A54, ROW(INDIRECT("1:" &amp; LEN(A54))), 1), ""))</f>
        <v>07020946861</v>
      </c>
      <c r="K54" t="str">
        <f t="shared" si="0"/>
        <v>Mr. Chidi Afolabi – 07020946861</v>
      </c>
      <c r="L54" t="str">
        <f t="shared" si="1"/>
        <v>MICROWAVE</v>
      </c>
      <c r="M54" t="str">
        <f t="shared" si="2"/>
        <v>mr.</v>
      </c>
      <c r="N54" t="str">
        <f t="shared" si="3"/>
        <v>Mr. Chidi Afolabi  07020946861</v>
      </c>
      <c r="O54">
        <f t="shared" si="15"/>
        <v>2024</v>
      </c>
      <c r="P54">
        <f t="shared" si="5"/>
        <v>8</v>
      </c>
      <c r="Q54">
        <f t="shared" si="6"/>
        <v>15</v>
      </c>
      <c r="R54" s="4" t="str">
        <f t="shared" si="7"/>
        <v>August</v>
      </c>
      <c r="S54" t="str">
        <f t="shared" si="8"/>
        <v>Q3</v>
      </c>
      <c r="T54" t="str">
        <f t="shared" si="9"/>
        <v>Yes</v>
      </c>
      <c r="U54">
        <f t="shared" si="10"/>
        <v>60579.695</v>
      </c>
      <c r="V54" t="str">
        <f t="shared" si="11"/>
        <v>Processed</v>
      </c>
      <c r="W54" t="str">
        <f t="shared" si="12"/>
        <v>Premium</v>
      </c>
      <c r="X54" t="str">
        <f t="shared" ca="1" si="13"/>
        <v>mr. Chidi (07020946861)</v>
      </c>
      <c r="Y54" t="str">
        <f t="shared" si="14"/>
        <v>Dear mr. Chidi Afolabi, your purchase of Microwave worth ₦ 60579.695 is Processed</v>
      </c>
    </row>
    <row r="55" spans="1:25" x14ac:dyDescent="0.25">
      <c r="A55" t="s">
        <v>58</v>
      </c>
      <c r="B55" s="3">
        <v>45649</v>
      </c>
      <c r="C55" t="s">
        <v>107</v>
      </c>
      <c r="D55" s="6">
        <v>112673</v>
      </c>
      <c r="E55" t="s">
        <v>117</v>
      </c>
      <c r="F55" t="s">
        <v>122</v>
      </c>
      <c r="G55" t="s">
        <v>134</v>
      </c>
      <c r="H55" t="s">
        <v>138</v>
      </c>
      <c r="I55" t="s">
        <v>152</v>
      </c>
      <c r="J55" t="str" cm="1">
        <f t="array" aca="1" ref="J55" ca="1">_xlfn.TEXTJOIN("", TRUE, IF(ISNUMBER(--MID(A55, ROW(INDIRECT("1:" &amp; LEN(A55))), 1)), MID(A55, ROW(INDIRECT("1:" &amp; LEN(A55))), 1), ""))</f>
        <v>09055088197</v>
      </c>
      <c r="K55" t="str">
        <f t="shared" si="0"/>
        <v>Dr. Halima Adewale – 09055088197</v>
      </c>
      <c r="L55" t="str">
        <f t="shared" si="1"/>
        <v>TOASTER</v>
      </c>
      <c r="M55" t="str">
        <f t="shared" si="2"/>
        <v>dr.</v>
      </c>
      <c r="N55" t="str">
        <f t="shared" si="3"/>
        <v>Dr. Halima Adewale  09055088197</v>
      </c>
      <c r="O55">
        <f t="shared" si="15"/>
        <v>2024</v>
      </c>
      <c r="P55">
        <f t="shared" si="5"/>
        <v>12</v>
      </c>
      <c r="Q55">
        <f t="shared" si="6"/>
        <v>23</v>
      </c>
      <c r="R55" s="4" t="str">
        <f t="shared" si="7"/>
        <v>December</v>
      </c>
      <c r="S55" t="str">
        <f t="shared" si="8"/>
        <v>Q4</v>
      </c>
      <c r="T55" t="str">
        <f t="shared" si="9"/>
        <v>Yes</v>
      </c>
      <c r="U55">
        <f t="shared" si="10"/>
        <v>112616.6635</v>
      </c>
      <c r="V55" t="str">
        <f t="shared" si="11"/>
        <v>Processed</v>
      </c>
      <c r="W55" t="str">
        <f t="shared" si="12"/>
        <v>Premium</v>
      </c>
      <c r="X55" t="str">
        <f t="shared" ca="1" si="13"/>
        <v>dr. Halima (09055088197)</v>
      </c>
      <c r="Y55" t="str">
        <f t="shared" si="14"/>
        <v>Dear dr. Halima Adewale, your purchase of Toaster worth ₦ 112616.6635 is Processed</v>
      </c>
    </row>
    <row r="56" spans="1:25" x14ac:dyDescent="0.25">
      <c r="A56" t="s">
        <v>59</v>
      </c>
      <c r="B56" s="3">
        <v>45522</v>
      </c>
      <c r="C56" t="s">
        <v>110</v>
      </c>
      <c r="D56" s="6">
        <v>47567</v>
      </c>
      <c r="E56" t="s">
        <v>119</v>
      </c>
      <c r="F56" t="s">
        <v>122</v>
      </c>
      <c r="G56" t="s">
        <v>126</v>
      </c>
      <c r="H56" t="s">
        <v>128</v>
      </c>
      <c r="I56" t="s">
        <v>131</v>
      </c>
      <c r="J56" t="str" cm="1">
        <f t="array" aca="1" ref="J56" ca="1">_xlfn.TEXTJOIN("", TRUE, IF(ISNUMBER(--MID(A56, ROW(INDIRECT("1:" &amp; LEN(A56))), 1)), MID(A56, ROW(INDIRECT("1:" &amp; LEN(A56))), 1), ""))</f>
        <v>08057657648</v>
      </c>
      <c r="K56" t="str">
        <f t="shared" si="0"/>
        <v>Miss. Peter Usman – 08057657648</v>
      </c>
      <c r="L56" t="str">
        <f t="shared" si="1"/>
        <v>BLENDER</v>
      </c>
      <c r="M56" t="str">
        <f t="shared" si="2"/>
        <v>miss.</v>
      </c>
      <c r="N56" t="str">
        <f t="shared" si="3"/>
        <v>Miss. Peter Usman  08057657648</v>
      </c>
      <c r="O56">
        <f t="shared" si="15"/>
        <v>2024</v>
      </c>
      <c r="P56">
        <f t="shared" si="5"/>
        <v>8</v>
      </c>
      <c r="Q56">
        <f t="shared" si="6"/>
        <v>18</v>
      </c>
      <c r="R56" s="4" t="str">
        <f t="shared" si="7"/>
        <v>August</v>
      </c>
      <c r="S56" t="str">
        <f t="shared" si="8"/>
        <v>Q3</v>
      </c>
      <c r="T56" t="str">
        <f t="shared" si="9"/>
        <v>Yes</v>
      </c>
      <c r="U56">
        <f t="shared" si="10"/>
        <v>47495.6495</v>
      </c>
      <c r="V56" t="str">
        <f t="shared" si="11"/>
        <v>Processed</v>
      </c>
      <c r="W56" t="str">
        <f t="shared" si="12"/>
        <v>Regular</v>
      </c>
      <c r="X56" t="str">
        <f t="shared" ca="1" si="13"/>
        <v>miss. Peter (08057657648)</v>
      </c>
      <c r="Y56" t="str">
        <f t="shared" si="14"/>
        <v>Dear miss. Peter Usman, your purchase of Blender worth ₦ 47495.6495 is Processed</v>
      </c>
    </row>
    <row r="57" spans="1:25" x14ac:dyDescent="0.25">
      <c r="A57" t="s">
        <v>60</v>
      </c>
      <c r="B57" s="3">
        <v>45600</v>
      </c>
      <c r="C57" t="s">
        <v>110</v>
      </c>
      <c r="D57" s="6">
        <v>105834</v>
      </c>
      <c r="E57" t="s">
        <v>115</v>
      </c>
      <c r="F57" t="s">
        <v>121</v>
      </c>
      <c r="G57" t="s">
        <v>134</v>
      </c>
      <c r="H57" t="s">
        <v>164</v>
      </c>
      <c r="I57" t="s">
        <v>143</v>
      </c>
      <c r="J57" t="str" cm="1">
        <f t="array" aca="1" ref="J57" ca="1">_xlfn.TEXTJOIN("", TRUE, IF(ISNUMBER(--MID(A57, ROW(INDIRECT("1:" &amp; LEN(A57))), 1)), MID(A57, ROW(INDIRECT("1:" &amp; LEN(A57))), 1), ""))</f>
        <v>08160934846</v>
      </c>
      <c r="K57" t="str">
        <f t="shared" si="0"/>
        <v>Dr. Mary Okon – 08160934846</v>
      </c>
      <c r="L57" t="str">
        <f t="shared" si="1"/>
        <v>BLENDER</v>
      </c>
      <c r="M57" t="str">
        <f t="shared" si="2"/>
        <v>dr.</v>
      </c>
      <c r="N57" t="str">
        <f t="shared" si="3"/>
        <v>Dr. Mary Okon  08160934846</v>
      </c>
      <c r="O57">
        <f t="shared" si="15"/>
        <v>2024</v>
      </c>
      <c r="P57">
        <f t="shared" si="5"/>
        <v>11</v>
      </c>
      <c r="Q57">
        <f t="shared" si="6"/>
        <v>4</v>
      </c>
      <c r="R57" s="4" t="str">
        <f t="shared" si="7"/>
        <v>November</v>
      </c>
      <c r="S57" t="str">
        <f t="shared" si="8"/>
        <v>Q4</v>
      </c>
      <c r="T57" t="str">
        <f t="shared" si="9"/>
        <v>Yes</v>
      </c>
      <c r="U57">
        <f t="shared" si="10"/>
        <v>105728.166</v>
      </c>
      <c r="V57" t="str">
        <f t="shared" si="11"/>
        <v>Pending</v>
      </c>
      <c r="W57" t="str">
        <f t="shared" si="12"/>
        <v>Premium</v>
      </c>
      <c r="X57" t="str">
        <f t="shared" ca="1" si="13"/>
        <v>dr. Mary (08160934846)</v>
      </c>
      <c r="Y57" t="str">
        <f t="shared" si="14"/>
        <v>Dear dr. Mary Okon, your purchase of Blender worth ₦ 105728.166 is Pending</v>
      </c>
    </row>
    <row r="58" spans="1:25" x14ac:dyDescent="0.25">
      <c r="A58" t="s">
        <v>61</v>
      </c>
      <c r="B58" s="3">
        <v>45606</v>
      </c>
      <c r="C58" t="s">
        <v>107</v>
      </c>
      <c r="D58" s="6">
        <v>194004</v>
      </c>
      <c r="E58" t="s">
        <v>118</v>
      </c>
      <c r="F58" t="s">
        <v>120</v>
      </c>
      <c r="G58" t="s">
        <v>126</v>
      </c>
      <c r="H58" t="s">
        <v>128</v>
      </c>
      <c r="I58" t="s">
        <v>151</v>
      </c>
      <c r="J58" t="str" cm="1">
        <f t="array" aca="1" ref="J58" ca="1">_xlfn.TEXTJOIN("", TRUE, IF(ISNUMBER(--MID(A58, ROW(INDIRECT("1:" &amp; LEN(A58))), 1)), MID(A58, ROW(INDIRECT("1:" &amp; LEN(A58))), 1), ""))</f>
        <v>07095261979</v>
      </c>
      <c r="K58" t="str">
        <f t="shared" si="0"/>
        <v>Miss. Peter Johnson – 07095261979</v>
      </c>
      <c r="L58" t="str">
        <f t="shared" si="1"/>
        <v>TOASTER</v>
      </c>
      <c r="M58" t="str">
        <f t="shared" si="2"/>
        <v>miss.</v>
      </c>
      <c r="N58" t="str">
        <f t="shared" si="3"/>
        <v>Miss. Peter Johnson  07095261979</v>
      </c>
      <c r="O58">
        <f t="shared" si="15"/>
        <v>2024</v>
      </c>
      <c r="P58">
        <f t="shared" si="5"/>
        <v>11</v>
      </c>
      <c r="Q58">
        <f t="shared" si="6"/>
        <v>10</v>
      </c>
      <c r="R58" s="4" t="str">
        <f t="shared" si="7"/>
        <v>November</v>
      </c>
      <c r="S58" t="str">
        <f t="shared" si="8"/>
        <v>Q4</v>
      </c>
      <c r="T58" t="str">
        <f t="shared" si="9"/>
        <v>Yes</v>
      </c>
      <c r="U58">
        <f t="shared" si="10"/>
        <v>194004</v>
      </c>
      <c r="V58" t="str">
        <f t="shared" si="11"/>
        <v>Processed</v>
      </c>
      <c r="W58" t="str">
        <f t="shared" si="12"/>
        <v>Premium</v>
      </c>
      <c r="X58" t="str">
        <f t="shared" ca="1" si="13"/>
        <v>miss. Peter (07095261979)</v>
      </c>
      <c r="Y58" t="str">
        <f t="shared" si="14"/>
        <v>Dear miss. Peter Johnson, your purchase of Toaster worth ₦ 194004 is Processed</v>
      </c>
    </row>
    <row r="59" spans="1:25" x14ac:dyDescent="0.25">
      <c r="A59" t="s">
        <v>62</v>
      </c>
      <c r="B59" s="3">
        <v>45439</v>
      </c>
      <c r="C59" t="s">
        <v>114</v>
      </c>
      <c r="D59" s="6">
        <v>167671</v>
      </c>
      <c r="E59" t="s">
        <v>116</v>
      </c>
      <c r="F59" t="s">
        <v>122</v>
      </c>
      <c r="G59" t="s">
        <v>123</v>
      </c>
      <c r="H59" t="s">
        <v>144</v>
      </c>
      <c r="I59" t="s">
        <v>139</v>
      </c>
      <c r="J59" t="str" cm="1">
        <f t="array" aca="1" ref="J59" ca="1">_xlfn.TEXTJOIN("", TRUE, IF(ISNUMBER(--MID(A59, ROW(INDIRECT("1:" &amp; LEN(A59))), 1)), MID(A59, ROW(INDIRECT("1:" &amp; LEN(A59))), 1), ""))</f>
        <v>09066583074</v>
      </c>
      <c r="K59" t="str">
        <f t="shared" si="0"/>
        <v>Mrs. Hassan Yusuf – 09066583074</v>
      </c>
      <c r="L59" t="str">
        <f t="shared" si="1"/>
        <v>REFRIGERATOR</v>
      </c>
      <c r="M59" t="str">
        <f t="shared" si="2"/>
        <v>mrs.</v>
      </c>
      <c r="N59" t="str">
        <f t="shared" si="3"/>
        <v>Mrs. Hassan Yusuf  09066583074</v>
      </c>
      <c r="O59">
        <f t="shared" si="15"/>
        <v>2024</v>
      </c>
      <c r="P59">
        <f t="shared" si="5"/>
        <v>5</v>
      </c>
      <c r="Q59">
        <f t="shared" si="6"/>
        <v>27</v>
      </c>
      <c r="R59" s="4" t="str">
        <f t="shared" si="7"/>
        <v>May</v>
      </c>
      <c r="S59" t="str">
        <f t="shared" si="8"/>
        <v>Q2</v>
      </c>
      <c r="T59" t="str">
        <f t="shared" si="9"/>
        <v>Yes</v>
      </c>
      <c r="U59">
        <f t="shared" si="10"/>
        <v>167335.658</v>
      </c>
      <c r="V59" t="str">
        <f t="shared" si="11"/>
        <v>Processed</v>
      </c>
      <c r="W59" t="str">
        <f t="shared" si="12"/>
        <v>Premium</v>
      </c>
      <c r="X59" t="str">
        <f t="shared" ca="1" si="13"/>
        <v>mrs. Hassan (09066583074)</v>
      </c>
      <c r="Y59" t="str">
        <f t="shared" si="14"/>
        <v>Dear mrs. Hassan Yusuf, your purchase of Refrigerator worth ₦ 167335.658 is Processed</v>
      </c>
    </row>
    <row r="60" spans="1:25" x14ac:dyDescent="0.25">
      <c r="A60" t="s">
        <v>63</v>
      </c>
      <c r="B60" s="3">
        <v>45496</v>
      </c>
      <c r="C60" t="s">
        <v>110</v>
      </c>
      <c r="D60" s="6">
        <v>136962</v>
      </c>
      <c r="E60" t="s">
        <v>119</v>
      </c>
      <c r="F60" t="s">
        <v>121</v>
      </c>
      <c r="G60" t="s">
        <v>123</v>
      </c>
      <c r="H60" t="s">
        <v>158</v>
      </c>
      <c r="I60" t="s">
        <v>127</v>
      </c>
      <c r="J60" t="str" cm="1">
        <f t="array" aca="1" ref="J60" ca="1">_xlfn.TEXTJOIN("", TRUE, IF(ISNUMBER(--MID(A60, ROW(INDIRECT("1:" &amp; LEN(A60))), 1)), MID(A60, ROW(INDIRECT("1:" &amp; LEN(A60))), 1), ""))</f>
        <v>08047342033</v>
      </c>
      <c r="K60" t="str">
        <f t="shared" si="0"/>
        <v>Mrs. Joy Ijeoma – 08047342033</v>
      </c>
      <c r="L60" t="str">
        <f t="shared" si="1"/>
        <v>BLENDER</v>
      </c>
      <c r="M60" t="str">
        <f t="shared" si="2"/>
        <v>mrs.</v>
      </c>
      <c r="N60" t="str">
        <f t="shared" si="3"/>
        <v>Mrs. Joy Ijeoma  08047342033</v>
      </c>
      <c r="O60">
        <f t="shared" si="15"/>
        <v>2024</v>
      </c>
      <c r="P60">
        <f t="shared" si="5"/>
        <v>7</v>
      </c>
      <c r="Q60">
        <f t="shared" si="6"/>
        <v>23</v>
      </c>
      <c r="R60" s="4" t="str">
        <f t="shared" si="7"/>
        <v>July</v>
      </c>
      <c r="S60" t="str">
        <f t="shared" si="8"/>
        <v>Q3</v>
      </c>
      <c r="T60" t="str">
        <f t="shared" si="9"/>
        <v>Yes</v>
      </c>
      <c r="U60">
        <f t="shared" si="10"/>
        <v>136756.557</v>
      </c>
      <c r="V60" t="str">
        <f t="shared" si="11"/>
        <v>Pending</v>
      </c>
      <c r="W60" t="str">
        <f t="shared" si="12"/>
        <v>Premium</v>
      </c>
      <c r="X60" t="str">
        <f t="shared" ca="1" si="13"/>
        <v>mrs. Joy (08047342033)</v>
      </c>
      <c r="Y60" t="str">
        <f t="shared" si="14"/>
        <v>Dear mrs. Joy Ijeoma, your purchase of Blender worth ₦ 136756.557 is Pending</v>
      </c>
    </row>
    <row r="61" spans="1:25" x14ac:dyDescent="0.25">
      <c r="A61" t="s">
        <v>64</v>
      </c>
      <c r="B61" s="3">
        <v>45412</v>
      </c>
      <c r="C61" t="s">
        <v>106</v>
      </c>
      <c r="D61" s="6">
        <v>21793</v>
      </c>
      <c r="E61" t="s">
        <v>115</v>
      </c>
      <c r="F61" t="s">
        <v>120</v>
      </c>
      <c r="G61" t="s">
        <v>134</v>
      </c>
      <c r="H61" t="s">
        <v>161</v>
      </c>
      <c r="I61" t="s">
        <v>137</v>
      </c>
      <c r="J61" t="str" cm="1">
        <f t="array" aca="1" ref="J61" ca="1">_xlfn.TEXTJOIN("", TRUE, IF(ISNUMBER(--MID(A61, ROW(INDIRECT("1:" &amp; LEN(A61))), 1)), MID(A61, ROW(INDIRECT("1:" &amp; LEN(A61))), 1), ""))</f>
        <v>07050098400</v>
      </c>
      <c r="K61" t="str">
        <f t="shared" si="0"/>
        <v>Dr. John Ade – 07050098400</v>
      </c>
      <c r="L61" t="str">
        <f t="shared" si="1"/>
        <v>WASHING MACHINE</v>
      </c>
      <c r="M61" t="str">
        <f t="shared" si="2"/>
        <v>dr.</v>
      </c>
      <c r="N61" t="str">
        <f t="shared" si="3"/>
        <v>Dr. John Ade  07050098400</v>
      </c>
      <c r="O61">
        <f t="shared" si="15"/>
        <v>2024</v>
      </c>
      <c r="P61">
        <f t="shared" si="5"/>
        <v>4</v>
      </c>
      <c r="Q61">
        <f t="shared" si="6"/>
        <v>30</v>
      </c>
      <c r="R61" s="4" t="str">
        <f t="shared" si="7"/>
        <v>April</v>
      </c>
      <c r="S61" t="str">
        <f t="shared" si="8"/>
        <v>Q2</v>
      </c>
      <c r="T61" t="str">
        <f t="shared" si="9"/>
        <v>Yes</v>
      </c>
      <c r="U61">
        <f t="shared" si="10"/>
        <v>21771.206999999999</v>
      </c>
      <c r="V61" t="str">
        <f t="shared" si="11"/>
        <v>Processed</v>
      </c>
      <c r="W61" t="str">
        <f t="shared" si="12"/>
        <v>Regular</v>
      </c>
      <c r="X61" t="str">
        <f t="shared" ca="1" si="13"/>
        <v>dr. John (07050098400)</v>
      </c>
      <c r="Y61" t="str">
        <f t="shared" si="14"/>
        <v>Dear dr. John Ade, your purchase of Washing Machine worth ₦ 21771.207 is Processed</v>
      </c>
    </row>
    <row r="62" spans="1:25" x14ac:dyDescent="0.25">
      <c r="A62" t="s">
        <v>65</v>
      </c>
      <c r="B62" s="3">
        <v>45600</v>
      </c>
      <c r="C62" t="s">
        <v>107</v>
      </c>
      <c r="D62" s="6">
        <v>168074</v>
      </c>
      <c r="E62" t="s">
        <v>119</v>
      </c>
      <c r="F62" t="s">
        <v>120</v>
      </c>
      <c r="G62" t="s">
        <v>134</v>
      </c>
      <c r="H62" t="s">
        <v>150</v>
      </c>
      <c r="I62" t="s">
        <v>139</v>
      </c>
      <c r="J62" t="str" cm="1">
        <f t="array" aca="1" ref="J62" ca="1">_xlfn.TEXTJOIN("", TRUE, IF(ISNUMBER(--MID(A62, ROW(INDIRECT("1:" &amp; LEN(A62))), 1)), MID(A62, ROW(INDIRECT("1:" &amp; LEN(A62))), 1), ""))</f>
        <v>09025204180</v>
      </c>
      <c r="K62" t="str">
        <f t="shared" si="0"/>
        <v>Dr. Ada Yusuf – 09025204180</v>
      </c>
      <c r="L62" t="str">
        <f t="shared" si="1"/>
        <v>TOASTER</v>
      </c>
      <c r="M62" t="str">
        <f t="shared" si="2"/>
        <v>dr.</v>
      </c>
      <c r="N62" t="str">
        <f t="shared" si="3"/>
        <v>Dr. Ada Yusuf  09025204180</v>
      </c>
      <c r="O62">
        <f t="shared" si="15"/>
        <v>2024</v>
      </c>
      <c r="P62">
        <f t="shared" si="5"/>
        <v>11</v>
      </c>
      <c r="Q62">
        <f t="shared" si="6"/>
        <v>4</v>
      </c>
      <c r="R62" s="4" t="str">
        <f t="shared" si="7"/>
        <v>November</v>
      </c>
      <c r="S62" t="str">
        <f t="shared" si="8"/>
        <v>Q4</v>
      </c>
      <c r="T62" t="str">
        <f t="shared" si="9"/>
        <v>Yes</v>
      </c>
      <c r="U62">
        <f t="shared" si="10"/>
        <v>167821.889</v>
      </c>
      <c r="V62" t="str">
        <f t="shared" si="11"/>
        <v>Processed</v>
      </c>
      <c r="W62" t="str">
        <f t="shared" si="12"/>
        <v>Premium</v>
      </c>
      <c r="X62" t="str">
        <f t="shared" ca="1" si="13"/>
        <v>dr. Ada (09025204180)</v>
      </c>
      <c r="Y62" t="str">
        <f t="shared" si="14"/>
        <v>Dear dr. Ada Yusuf, your purchase of Toaster worth ₦ 167821.889 is Processed</v>
      </c>
    </row>
    <row r="63" spans="1:25" x14ac:dyDescent="0.25">
      <c r="A63" t="s">
        <v>66</v>
      </c>
      <c r="B63" s="3">
        <v>45430</v>
      </c>
      <c r="C63" t="s">
        <v>106</v>
      </c>
      <c r="D63" s="6">
        <v>105888</v>
      </c>
      <c r="E63" t="s">
        <v>117</v>
      </c>
      <c r="F63" t="s">
        <v>122</v>
      </c>
      <c r="G63" t="s">
        <v>126</v>
      </c>
      <c r="H63" t="s">
        <v>154</v>
      </c>
      <c r="I63" t="s">
        <v>159</v>
      </c>
      <c r="J63" t="str" cm="1">
        <f t="array" aca="1" ref="J63" ca="1">_xlfn.TEXTJOIN("", TRUE, IF(ISNUMBER(--MID(A63, ROW(INDIRECT("1:" &amp; LEN(A63))), 1)), MID(A63, ROW(INDIRECT("1:" &amp; LEN(A63))), 1), ""))</f>
        <v>08035230069</v>
      </c>
      <c r="K63" t="str">
        <f t="shared" si="0"/>
        <v>Miss. Grace Afolabi – 08035230069</v>
      </c>
      <c r="L63" t="str">
        <f t="shared" si="1"/>
        <v>WASHING MACHINE</v>
      </c>
      <c r="M63" t="str">
        <f t="shared" si="2"/>
        <v>miss.</v>
      </c>
      <c r="N63" t="str">
        <f t="shared" si="3"/>
        <v>Miss. Grace Afolabi  08035230069</v>
      </c>
      <c r="O63">
        <f t="shared" si="15"/>
        <v>2024</v>
      </c>
      <c r="P63">
        <f t="shared" si="5"/>
        <v>5</v>
      </c>
      <c r="Q63">
        <f t="shared" si="6"/>
        <v>18</v>
      </c>
      <c r="R63" s="4" t="str">
        <f t="shared" si="7"/>
        <v>May</v>
      </c>
      <c r="S63" t="str">
        <f t="shared" si="8"/>
        <v>Q2</v>
      </c>
      <c r="T63" t="str">
        <f t="shared" si="9"/>
        <v>Yes</v>
      </c>
      <c r="U63">
        <f t="shared" si="10"/>
        <v>105835.056</v>
      </c>
      <c r="V63" t="str">
        <f t="shared" si="11"/>
        <v>Processed</v>
      </c>
      <c r="W63" t="str">
        <f t="shared" si="12"/>
        <v>Premium</v>
      </c>
      <c r="X63" t="str">
        <f t="shared" ca="1" si="13"/>
        <v>miss. Grace (08035230069)</v>
      </c>
      <c r="Y63" t="str">
        <f t="shared" si="14"/>
        <v>Dear miss. Grace Afolabi, your purchase of Washing Machine worth ₦ 105835.056 is Processed</v>
      </c>
    </row>
    <row r="64" spans="1:25" x14ac:dyDescent="0.25">
      <c r="A64" t="s">
        <v>67</v>
      </c>
      <c r="B64" s="3">
        <v>45614</v>
      </c>
      <c r="C64" t="s">
        <v>110</v>
      </c>
      <c r="D64" s="6">
        <v>119533</v>
      </c>
      <c r="E64" t="s">
        <v>117</v>
      </c>
      <c r="F64" t="s">
        <v>121</v>
      </c>
      <c r="G64" t="s">
        <v>136</v>
      </c>
      <c r="H64" t="s">
        <v>146</v>
      </c>
      <c r="I64" t="s">
        <v>163</v>
      </c>
      <c r="J64" t="str" cm="1">
        <f t="array" aca="1" ref="J64" ca="1">_xlfn.TEXTJOIN("", TRUE, IF(ISNUMBER(--MID(A64, ROW(INDIRECT("1:" &amp; LEN(A64))), 1)), MID(A64, ROW(INDIRECT("1:" &amp; LEN(A64))), 1), ""))</f>
        <v>07061768523</v>
      </c>
      <c r="K64" t="str">
        <f t="shared" si="0"/>
        <v>Mr. Ruth Agbo – 07061768523</v>
      </c>
      <c r="L64" t="str">
        <f t="shared" si="1"/>
        <v>BLENDER</v>
      </c>
      <c r="M64" t="str">
        <f t="shared" si="2"/>
        <v>mr.</v>
      </c>
      <c r="N64" t="str">
        <f t="shared" si="3"/>
        <v>Mr. Ruth Agbo  07061768523</v>
      </c>
      <c r="O64">
        <f t="shared" si="15"/>
        <v>2024</v>
      </c>
      <c r="P64">
        <f t="shared" si="5"/>
        <v>11</v>
      </c>
      <c r="Q64">
        <f t="shared" si="6"/>
        <v>18</v>
      </c>
      <c r="R64" s="4" t="str">
        <f t="shared" si="7"/>
        <v>November</v>
      </c>
      <c r="S64" t="str">
        <f t="shared" si="8"/>
        <v>Q4</v>
      </c>
      <c r="T64" t="str">
        <f t="shared" si="9"/>
        <v>Yes</v>
      </c>
      <c r="U64">
        <f t="shared" si="10"/>
        <v>119473.2335</v>
      </c>
      <c r="V64" t="str">
        <f t="shared" si="11"/>
        <v>Pending</v>
      </c>
      <c r="W64" t="str">
        <f t="shared" si="12"/>
        <v>Premium</v>
      </c>
      <c r="X64" t="str">
        <f t="shared" ca="1" si="13"/>
        <v>mr. Ruth (07061768523)</v>
      </c>
      <c r="Y64" t="str">
        <f t="shared" si="14"/>
        <v>Dear mr. Ruth Agbo, your purchase of Blender worth ₦ 119473.2335 is Pending</v>
      </c>
    </row>
    <row r="65" spans="1:25" x14ac:dyDescent="0.25">
      <c r="A65" t="s">
        <v>68</v>
      </c>
      <c r="B65" s="3">
        <v>45649</v>
      </c>
      <c r="C65" t="s">
        <v>109</v>
      </c>
      <c r="D65" s="6">
        <v>89364</v>
      </c>
      <c r="E65" t="s">
        <v>118</v>
      </c>
      <c r="F65" t="s">
        <v>120</v>
      </c>
      <c r="G65" t="s">
        <v>134</v>
      </c>
      <c r="H65" t="s">
        <v>157</v>
      </c>
      <c r="I65" t="s">
        <v>152</v>
      </c>
      <c r="J65" t="str" cm="1">
        <f t="array" aca="1" ref="J65" ca="1">_xlfn.TEXTJOIN("", TRUE, IF(ISNUMBER(--MID(A65, ROW(INDIRECT("1:" &amp; LEN(A65))), 1)), MID(A65, ROW(INDIRECT("1:" &amp; LEN(A65))), 1), ""))</f>
        <v>08122010279</v>
      </c>
      <c r="K65" t="str">
        <f t="shared" si="0"/>
        <v>Dr. Bola Adewale – 08122010279</v>
      </c>
      <c r="L65" t="str">
        <f t="shared" si="1"/>
        <v>IRON</v>
      </c>
      <c r="M65" t="str">
        <f t="shared" si="2"/>
        <v>dr.</v>
      </c>
      <c r="N65" t="str">
        <f t="shared" si="3"/>
        <v>Dr. Bola Adewale  08122010279</v>
      </c>
      <c r="O65">
        <f t="shared" si="15"/>
        <v>2024</v>
      </c>
      <c r="P65">
        <f t="shared" si="5"/>
        <v>12</v>
      </c>
      <c r="Q65">
        <f t="shared" si="6"/>
        <v>23</v>
      </c>
      <c r="R65" s="4" t="str">
        <f t="shared" si="7"/>
        <v>December</v>
      </c>
      <c r="S65" t="str">
        <f t="shared" si="8"/>
        <v>Q4</v>
      </c>
      <c r="T65" t="str">
        <f t="shared" si="9"/>
        <v>Yes</v>
      </c>
      <c r="U65">
        <f t="shared" si="10"/>
        <v>89364</v>
      </c>
      <c r="V65" t="str">
        <f t="shared" si="11"/>
        <v>Processed</v>
      </c>
      <c r="W65" t="str">
        <f t="shared" si="12"/>
        <v>Premium</v>
      </c>
      <c r="X65" t="str">
        <f t="shared" ca="1" si="13"/>
        <v>dr. Bola (08122010279)</v>
      </c>
      <c r="Y65" t="str">
        <f t="shared" si="14"/>
        <v>Dear dr. Bola Adewale, your purchase of Iron worth ₦ 89364 is Processed</v>
      </c>
    </row>
    <row r="66" spans="1:25" x14ac:dyDescent="0.25">
      <c r="A66" t="s">
        <v>69</v>
      </c>
      <c r="B66" s="3">
        <v>45604</v>
      </c>
      <c r="C66" t="s">
        <v>114</v>
      </c>
      <c r="D66" s="6">
        <v>104003</v>
      </c>
      <c r="E66" t="s">
        <v>117</v>
      </c>
      <c r="F66" t="s">
        <v>122</v>
      </c>
      <c r="G66" t="s">
        <v>123</v>
      </c>
      <c r="H66" t="s">
        <v>157</v>
      </c>
      <c r="I66" t="s">
        <v>137</v>
      </c>
      <c r="J66" t="str" cm="1">
        <f t="array" aca="1" ref="J66" ca="1">_xlfn.TEXTJOIN("", TRUE, IF(ISNUMBER(--MID(A66, ROW(INDIRECT("1:" &amp; LEN(A66))), 1)), MID(A66, ROW(INDIRECT("1:" &amp; LEN(A66))), 1), ""))</f>
        <v>08046222503</v>
      </c>
      <c r="K66" t="str">
        <f t="shared" si="0"/>
        <v>Mrs. Bola Ade – 08046222503</v>
      </c>
      <c r="L66" t="str">
        <f t="shared" si="1"/>
        <v>REFRIGERATOR</v>
      </c>
      <c r="M66" t="str">
        <f t="shared" si="2"/>
        <v>mrs.</v>
      </c>
      <c r="N66" t="str">
        <f t="shared" si="3"/>
        <v>Mrs. Bola Ade  08046222503</v>
      </c>
      <c r="O66">
        <f t="shared" si="15"/>
        <v>2024</v>
      </c>
      <c r="P66">
        <f t="shared" si="5"/>
        <v>11</v>
      </c>
      <c r="Q66">
        <f t="shared" si="6"/>
        <v>8</v>
      </c>
      <c r="R66" s="4" t="str">
        <f t="shared" si="7"/>
        <v>November</v>
      </c>
      <c r="S66" t="str">
        <f t="shared" si="8"/>
        <v>Q4</v>
      </c>
      <c r="T66" t="str">
        <f t="shared" si="9"/>
        <v>Yes</v>
      </c>
      <c r="U66">
        <f t="shared" si="10"/>
        <v>103950.9985</v>
      </c>
      <c r="V66" t="str">
        <f t="shared" si="11"/>
        <v>Processed</v>
      </c>
      <c r="W66" t="str">
        <f t="shared" si="12"/>
        <v>Premium</v>
      </c>
      <c r="X66" t="str">
        <f t="shared" ca="1" si="13"/>
        <v>mrs. Bola (08046222503)</v>
      </c>
      <c r="Y66" t="str">
        <f t="shared" si="14"/>
        <v>Dear mrs. Bola Ade, your purchase of Refrigerator worth ₦ 103950.9985 is Processed</v>
      </c>
    </row>
    <row r="67" spans="1:25" x14ac:dyDescent="0.25">
      <c r="A67" t="s">
        <v>70</v>
      </c>
      <c r="B67" s="3">
        <v>45437</v>
      </c>
      <c r="C67" t="s">
        <v>114</v>
      </c>
      <c r="D67" s="6">
        <v>150221</v>
      </c>
      <c r="E67" t="s">
        <v>119</v>
      </c>
      <c r="F67" t="s">
        <v>121</v>
      </c>
      <c r="G67" t="s">
        <v>123</v>
      </c>
      <c r="H67" t="s">
        <v>144</v>
      </c>
      <c r="I67" t="s">
        <v>140</v>
      </c>
      <c r="J67" t="str" cm="1">
        <f t="array" aca="1" ref="J67" ca="1">_xlfn.TEXTJOIN("", TRUE, IF(ISNUMBER(--MID(A67, ROW(INDIRECT("1:" &amp; LEN(A67))), 1)), MID(A67, ROW(INDIRECT("1:" &amp; LEN(A67))), 1), ""))</f>
        <v>07026404533</v>
      </c>
      <c r="K67" t="str">
        <f t="shared" ref="K67:K107" si="16">PROPER(A67)</f>
        <v>Mrs. Hassan Ali – 07026404533</v>
      </c>
      <c r="L67" t="str">
        <f t="shared" ref="L67:L107" si="17">UPPER(C67)</f>
        <v>REFRIGERATOR</v>
      </c>
      <c r="M67" t="str">
        <f t="shared" ref="M67:M107" si="18">LOWER(G67)</f>
        <v>mrs.</v>
      </c>
      <c r="N67" t="str">
        <f t="shared" ref="N67:N108" si="19">SUBSTITUTE(K67, "–", "")</f>
        <v>Mrs. Hassan Ali  07026404533</v>
      </c>
      <c r="O67">
        <f t="shared" ref="O67:O101" si="20">YEAR(B67)</f>
        <v>2024</v>
      </c>
      <c r="P67">
        <f t="shared" ref="P67:P101" si="21">MONTH(B67)</f>
        <v>5</v>
      </c>
      <c r="Q67">
        <f t="shared" ref="Q67:Q101" si="22">DAY(B67)</f>
        <v>25</v>
      </c>
      <c r="R67" s="4" t="str">
        <f t="shared" ref="R67:R101" si="23">TEXT(B67, "mmmm")</f>
        <v>May</v>
      </c>
      <c r="S67" t="str">
        <f t="shared" ref="S67:S101" si="24">IF(MONTH(B67) &lt;= 3, "Q1",
IF(MONTH(B67) &lt;= 6, "Q2",
IF(MONTH(B67) &lt;= 9, "Q3", "Q4")))</f>
        <v>Q2</v>
      </c>
      <c r="T67" t="str">
        <f t="shared" ref="T67:T101" si="25">IF(E67 &gt; 0, "Yes", "No")</f>
        <v>Yes</v>
      </c>
      <c r="U67">
        <f t="shared" ref="U67:U104" si="26">D67 - (D67 * (E67/100))</f>
        <v>149995.6685</v>
      </c>
      <c r="V67" t="str">
        <f t="shared" ref="V67:V101" si="27">IF(OR(F67="Delivered", F67="Returned"), "Processed", "Pending")</f>
        <v>Pending</v>
      </c>
      <c r="W67" t="str">
        <f t="shared" ref="W67:W101" si="28">IF(AND(U67 &gt; 50000, E67 &gt;= 10), "Premium", "Regular")</f>
        <v>Premium</v>
      </c>
      <c r="X67" t="str">
        <f t="shared" ref="X67:X101" ca="1" si="29">CONCATENATE(M67, " ", H67, " (", J67, ")")</f>
        <v>mrs. Hassan (07026404533)</v>
      </c>
      <c r="Y67" t="str">
        <f t="shared" ref="Y67:Y101" si="30">"Dear "&amp;M67&amp;" "&amp;H67&amp;" "&amp;I67&amp;", your purchase of "&amp;C67&amp;" worth ₦ "&amp;U67&amp;" is "&amp;V67</f>
        <v>Dear mrs. Hassan Ali, your purchase of Refrigerator worth ₦ 149995.6685 is Pending</v>
      </c>
    </row>
    <row r="68" spans="1:25" x14ac:dyDescent="0.25">
      <c r="A68" t="s">
        <v>71</v>
      </c>
      <c r="B68" s="3">
        <v>45458</v>
      </c>
      <c r="C68" t="s">
        <v>106</v>
      </c>
      <c r="D68" s="6">
        <v>47364</v>
      </c>
      <c r="E68" t="s">
        <v>117</v>
      </c>
      <c r="F68" t="s">
        <v>121</v>
      </c>
      <c r="G68" t="s">
        <v>123</v>
      </c>
      <c r="H68" t="s">
        <v>154</v>
      </c>
      <c r="I68" t="s">
        <v>155</v>
      </c>
      <c r="J68" t="str" cm="1">
        <f t="array" aca="1" ref="J68" ca="1">_xlfn.TEXTJOIN("", TRUE, IF(ISNUMBER(--MID(A68, ROW(INDIRECT("1:" &amp; LEN(A68))), 1)), MID(A68, ROW(INDIRECT("1:" &amp; LEN(A68))), 1), ""))</f>
        <v>07014306550</v>
      </c>
      <c r="K68" t="str">
        <f t="shared" si="16"/>
        <v>Mrs. Grace Olatunji – 07014306550</v>
      </c>
      <c r="L68" t="str">
        <f t="shared" si="17"/>
        <v>WASHING MACHINE</v>
      </c>
      <c r="M68" t="str">
        <f t="shared" si="18"/>
        <v>mrs.</v>
      </c>
      <c r="N68" t="str">
        <f t="shared" si="19"/>
        <v>Mrs. Grace Olatunji  07014306550</v>
      </c>
      <c r="O68">
        <f t="shared" si="20"/>
        <v>2024</v>
      </c>
      <c r="P68">
        <f t="shared" si="21"/>
        <v>6</v>
      </c>
      <c r="Q68">
        <f t="shared" si="22"/>
        <v>15</v>
      </c>
      <c r="R68" s="4" t="str">
        <f t="shared" si="23"/>
        <v>June</v>
      </c>
      <c r="S68" t="str">
        <f t="shared" si="24"/>
        <v>Q2</v>
      </c>
      <c r="T68" t="str">
        <f t="shared" si="25"/>
        <v>Yes</v>
      </c>
      <c r="U68">
        <f t="shared" si="26"/>
        <v>47340.317999999999</v>
      </c>
      <c r="V68" t="str">
        <f t="shared" si="27"/>
        <v>Pending</v>
      </c>
      <c r="W68" t="str">
        <f t="shared" si="28"/>
        <v>Regular</v>
      </c>
      <c r="X68" t="str">
        <f t="shared" ca="1" si="29"/>
        <v>mrs. Grace (07014306550)</v>
      </c>
      <c r="Y68" t="str">
        <f t="shared" si="30"/>
        <v>Dear mrs. Grace Olatunji, your purchase of Washing Machine worth ₦ 47340.318 is Pending</v>
      </c>
    </row>
    <row r="69" spans="1:25" x14ac:dyDescent="0.25">
      <c r="A69" t="s">
        <v>72</v>
      </c>
      <c r="B69" s="3">
        <v>45530</v>
      </c>
      <c r="C69" t="s">
        <v>107</v>
      </c>
      <c r="D69" s="6">
        <v>70862</v>
      </c>
      <c r="E69" t="s">
        <v>115</v>
      </c>
      <c r="F69" t="s">
        <v>121</v>
      </c>
      <c r="G69" t="s">
        <v>134</v>
      </c>
      <c r="H69" t="s">
        <v>141</v>
      </c>
      <c r="I69" t="s">
        <v>137</v>
      </c>
      <c r="J69" t="str" cm="1">
        <f t="array" aca="1" ref="J69" ca="1">_xlfn.TEXTJOIN("", TRUE, IF(ISNUMBER(--MID(A69, ROW(INDIRECT("1:" &amp; LEN(A69))), 1)), MID(A69, ROW(INDIRECT("1:" &amp; LEN(A69))), 1), ""))</f>
        <v>09039944255</v>
      </c>
      <c r="K69" t="str">
        <f t="shared" si="16"/>
        <v>Dr. Joseph Ade – 09039944255</v>
      </c>
      <c r="L69" t="str">
        <f t="shared" si="17"/>
        <v>TOASTER</v>
      </c>
      <c r="M69" t="str">
        <f t="shared" si="18"/>
        <v>dr.</v>
      </c>
      <c r="N69" t="str">
        <f t="shared" si="19"/>
        <v>Dr. Joseph Ade  09039944255</v>
      </c>
      <c r="O69">
        <f t="shared" si="20"/>
        <v>2024</v>
      </c>
      <c r="P69">
        <f t="shared" si="21"/>
        <v>8</v>
      </c>
      <c r="Q69">
        <f t="shared" si="22"/>
        <v>26</v>
      </c>
      <c r="R69" s="4" t="str">
        <f t="shared" si="23"/>
        <v>August</v>
      </c>
      <c r="S69" t="str">
        <f t="shared" si="24"/>
        <v>Q3</v>
      </c>
      <c r="T69" t="str">
        <f t="shared" si="25"/>
        <v>Yes</v>
      </c>
      <c r="U69">
        <f t="shared" si="26"/>
        <v>70791.138000000006</v>
      </c>
      <c r="V69" t="str">
        <f t="shared" si="27"/>
        <v>Pending</v>
      </c>
      <c r="W69" t="str">
        <f t="shared" si="28"/>
        <v>Premium</v>
      </c>
      <c r="X69" t="str">
        <f t="shared" ca="1" si="29"/>
        <v>dr. Joseph (09039944255)</v>
      </c>
      <c r="Y69" t="str">
        <f t="shared" si="30"/>
        <v>Dear dr. Joseph Ade, your purchase of Toaster worth ₦ 70791.138 is Pending</v>
      </c>
    </row>
    <row r="70" spans="1:25" x14ac:dyDescent="0.25">
      <c r="A70" t="s">
        <v>73</v>
      </c>
      <c r="B70" s="3">
        <v>45297</v>
      </c>
      <c r="C70" t="s">
        <v>108</v>
      </c>
      <c r="D70" s="6">
        <v>80414</v>
      </c>
      <c r="E70" t="s">
        <v>116</v>
      </c>
      <c r="F70" t="s">
        <v>120</v>
      </c>
      <c r="G70" t="s">
        <v>126</v>
      </c>
      <c r="H70" t="s">
        <v>135</v>
      </c>
      <c r="I70" t="s">
        <v>153</v>
      </c>
      <c r="J70" t="str" cm="1">
        <f t="array" aca="1" ref="J70" ca="1">_xlfn.TEXTJOIN("", TRUE, IF(ISNUMBER(--MID(A70, ROW(INDIRECT("1:" &amp; LEN(A70))), 1)), MID(A70, ROW(INDIRECT("1:" &amp; LEN(A70))), 1), ""))</f>
        <v>09009772542</v>
      </c>
      <c r="K70" t="str">
        <f t="shared" si="16"/>
        <v>Miss. Faith Okafor – 09009772542</v>
      </c>
      <c r="L70" t="str">
        <f t="shared" si="17"/>
        <v>MICROWAVE</v>
      </c>
      <c r="M70" t="str">
        <f t="shared" si="18"/>
        <v>miss.</v>
      </c>
      <c r="N70" t="str">
        <f t="shared" si="19"/>
        <v>Miss. Faith Okafor  09009772542</v>
      </c>
      <c r="O70">
        <f t="shared" si="20"/>
        <v>2024</v>
      </c>
      <c r="P70">
        <f t="shared" si="21"/>
        <v>1</v>
      </c>
      <c r="Q70">
        <f t="shared" si="22"/>
        <v>6</v>
      </c>
      <c r="R70" s="4" t="str">
        <f t="shared" si="23"/>
        <v>January</v>
      </c>
      <c r="S70" t="str">
        <f t="shared" si="24"/>
        <v>Q1</v>
      </c>
      <c r="T70" t="str">
        <f t="shared" si="25"/>
        <v>Yes</v>
      </c>
      <c r="U70">
        <f t="shared" si="26"/>
        <v>80253.172000000006</v>
      </c>
      <c r="V70" t="str">
        <f t="shared" si="27"/>
        <v>Processed</v>
      </c>
      <c r="W70" t="str">
        <f t="shared" si="28"/>
        <v>Premium</v>
      </c>
      <c r="X70" t="str">
        <f t="shared" ca="1" si="29"/>
        <v>miss. Faith (09009772542)</v>
      </c>
      <c r="Y70" t="str">
        <f t="shared" si="30"/>
        <v>Dear miss. Faith Okafor, your purchase of Microwave worth ₦ 80253.172 is Processed</v>
      </c>
    </row>
    <row r="71" spans="1:25" x14ac:dyDescent="0.25">
      <c r="A71" t="s">
        <v>74</v>
      </c>
      <c r="B71" s="3">
        <v>45630</v>
      </c>
      <c r="C71" t="s">
        <v>105</v>
      </c>
      <c r="D71" s="6">
        <v>194395</v>
      </c>
      <c r="E71" t="s">
        <v>117</v>
      </c>
      <c r="F71" t="s">
        <v>121</v>
      </c>
      <c r="G71" t="s">
        <v>136</v>
      </c>
      <c r="H71" t="s">
        <v>128</v>
      </c>
      <c r="I71" t="s">
        <v>147</v>
      </c>
      <c r="J71" t="str" cm="1">
        <f t="array" aca="1" ref="J71" ca="1">_xlfn.TEXTJOIN("", TRUE, IF(ISNUMBER(--MID(A71, ROW(INDIRECT("1:" &amp; LEN(A71))), 1)), MID(A71, ROW(INDIRECT("1:" &amp; LEN(A71))), 1), ""))</f>
        <v>07061686372</v>
      </c>
      <c r="K71" t="str">
        <f t="shared" si="16"/>
        <v>Mr. Peter Musa – 07061686372</v>
      </c>
      <c r="L71" t="str">
        <f t="shared" si="17"/>
        <v>STANDING FAN</v>
      </c>
      <c r="M71" t="str">
        <f t="shared" si="18"/>
        <v>mr.</v>
      </c>
      <c r="N71" t="str">
        <f t="shared" si="19"/>
        <v>Mr. Peter Musa  07061686372</v>
      </c>
      <c r="O71">
        <f t="shared" si="20"/>
        <v>2024</v>
      </c>
      <c r="P71">
        <f t="shared" si="21"/>
        <v>12</v>
      </c>
      <c r="Q71">
        <f t="shared" si="22"/>
        <v>4</v>
      </c>
      <c r="R71" s="4" t="str">
        <f t="shared" si="23"/>
        <v>December</v>
      </c>
      <c r="S71" t="str">
        <f t="shared" si="24"/>
        <v>Q4</v>
      </c>
      <c r="T71" t="str">
        <f t="shared" si="25"/>
        <v>Yes</v>
      </c>
      <c r="U71">
        <f t="shared" si="26"/>
        <v>194297.80249999999</v>
      </c>
      <c r="V71" t="str">
        <f t="shared" si="27"/>
        <v>Pending</v>
      </c>
      <c r="W71" t="str">
        <f t="shared" si="28"/>
        <v>Premium</v>
      </c>
      <c r="X71" t="str">
        <f t="shared" ca="1" si="29"/>
        <v>mr. Peter (07061686372)</v>
      </c>
      <c r="Y71" t="str">
        <f t="shared" si="30"/>
        <v>Dear mr. Peter Musa, your purchase of Standing Fan worth ₦ 194297.8025 is Pending</v>
      </c>
    </row>
    <row r="72" spans="1:25" x14ac:dyDescent="0.25">
      <c r="A72" t="s">
        <v>75</v>
      </c>
      <c r="B72" s="3">
        <v>45439</v>
      </c>
      <c r="C72" t="s">
        <v>107</v>
      </c>
      <c r="D72" s="6">
        <v>62960</v>
      </c>
      <c r="E72" t="s">
        <v>117</v>
      </c>
      <c r="F72" t="s">
        <v>121</v>
      </c>
      <c r="G72" t="s">
        <v>126</v>
      </c>
      <c r="H72" t="s">
        <v>135</v>
      </c>
      <c r="I72" t="s">
        <v>140</v>
      </c>
      <c r="J72" t="str" cm="1">
        <f t="array" aca="1" ref="J72" ca="1">_xlfn.TEXTJOIN("", TRUE, IF(ISNUMBER(--MID(A72, ROW(INDIRECT("1:" &amp; LEN(A72))), 1)), MID(A72, ROW(INDIRECT("1:" &amp; LEN(A72))), 1), ""))</f>
        <v>08086470678</v>
      </c>
      <c r="K72" t="str">
        <f t="shared" si="16"/>
        <v>Miss. Faith Ali – 08086470678</v>
      </c>
      <c r="L72" t="str">
        <f t="shared" si="17"/>
        <v>TOASTER</v>
      </c>
      <c r="M72" t="str">
        <f t="shared" si="18"/>
        <v>miss.</v>
      </c>
      <c r="N72" t="str">
        <f t="shared" si="19"/>
        <v>Miss. Faith Ali  08086470678</v>
      </c>
      <c r="O72">
        <f t="shared" si="20"/>
        <v>2024</v>
      </c>
      <c r="P72">
        <f t="shared" si="21"/>
        <v>5</v>
      </c>
      <c r="Q72">
        <f t="shared" si="22"/>
        <v>27</v>
      </c>
      <c r="R72" s="4" t="str">
        <f t="shared" si="23"/>
        <v>May</v>
      </c>
      <c r="S72" t="str">
        <f t="shared" si="24"/>
        <v>Q2</v>
      </c>
      <c r="T72" t="str">
        <f t="shared" si="25"/>
        <v>Yes</v>
      </c>
      <c r="U72">
        <f t="shared" si="26"/>
        <v>62928.52</v>
      </c>
      <c r="V72" t="str">
        <f t="shared" si="27"/>
        <v>Pending</v>
      </c>
      <c r="W72" t="str">
        <f t="shared" si="28"/>
        <v>Premium</v>
      </c>
      <c r="X72" t="str">
        <f t="shared" ca="1" si="29"/>
        <v>miss. Faith (08086470678)</v>
      </c>
      <c r="Y72" t="str">
        <f t="shared" si="30"/>
        <v>Dear miss. Faith Ali, your purchase of Toaster worth ₦ 62928.52 is Pending</v>
      </c>
    </row>
    <row r="73" spans="1:25" x14ac:dyDescent="0.25">
      <c r="A73" t="s">
        <v>76</v>
      </c>
      <c r="B73" s="3">
        <v>45587</v>
      </c>
      <c r="C73" t="s">
        <v>109</v>
      </c>
      <c r="D73" s="6">
        <v>142334</v>
      </c>
      <c r="E73" t="s">
        <v>116</v>
      </c>
      <c r="F73" t="s">
        <v>121</v>
      </c>
      <c r="G73" t="s">
        <v>123</v>
      </c>
      <c r="H73" t="s">
        <v>144</v>
      </c>
      <c r="I73" t="s">
        <v>160</v>
      </c>
      <c r="J73" t="str" cm="1">
        <f t="array" aca="1" ref="J73" ca="1">_xlfn.TEXTJOIN("", TRUE, IF(ISNUMBER(--MID(A73, ROW(INDIRECT("1:" &amp; LEN(A73))), 1)), MID(A73, ROW(INDIRECT("1:" &amp; LEN(A73))), 1), ""))</f>
        <v>08039760574</v>
      </c>
      <c r="K73" t="str">
        <f t="shared" si="16"/>
        <v>Mrs. Hassan Balogun – 08039760574</v>
      </c>
      <c r="L73" t="str">
        <f t="shared" si="17"/>
        <v>IRON</v>
      </c>
      <c r="M73" t="str">
        <f t="shared" si="18"/>
        <v>mrs.</v>
      </c>
      <c r="N73" t="str">
        <f t="shared" si="19"/>
        <v>Mrs. Hassan Balogun  08039760574</v>
      </c>
      <c r="O73">
        <f t="shared" si="20"/>
        <v>2024</v>
      </c>
      <c r="P73">
        <f t="shared" si="21"/>
        <v>10</v>
      </c>
      <c r="Q73">
        <f t="shared" si="22"/>
        <v>22</v>
      </c>
      <c r="R73" s="4" t="str">
        <f t="shared" si="23"/>
        <v>October</v>
      </c>
      <c r="S73" t="str">
        <f t="shared" si="24"/>
        <v>Q4</v>
      </c>
      <c r="T73" t="str">
        <f t="shared" si="25"/>
        <v>Yes</v>
      </c>
      <c r="U73">
        <f t="shared" si="26"/>
        <v>142049.33199999999</v>
      </c>
      <c r="V73" t="str">
        <f t="shared" si="27"/>
        <v>Pending</v>
      </c>
      <c r="W73" t="str">
        <f t="shared" si="28"/>
        <v>Premium</v>
      </c>
      <c r="X73" t="str">
        <f t="shared" ca="1" si="29"/>
        <v>mrs. Hassan (08039760574)</v>
      </c>
      <c r="Y73" t="str">
        <f t="shared" si="30"/>
        <v>Dear mrs. Hassan Balogun, your purchase of Iron worth ₦ 142049.332 is Pending</v>
      </c>
    </row>
    <row r="74" spans="1:25" x14ac:dyDescent="0.25">
      <c r="A74" t="s">
        <v>77</v>
      </c>
      <c r="B74" s="3">
        <v>45624</v>
      </c>
      <c r="C74" t="s">
        <v>106</v>
      </c>
      <c r="D74" s="6">
        <v>100618</v>
      </c>
      <c r="E74" t="s">
        <v>116</v>
      </c>
      <c r="F74" t="s">
        <v>120</v>
      </c>
      <c r="G74" t="s">
        <v>126</v>
      </c>
      <c r="H74" t="s">
        <v>142</v>
      </c>
      <c r="I74" t="s">
        <v>129</v>
      </c>
      <c r="J74" t="str" cm="1">
        <f t="array" aca="1" ref="J74" ca="1">_xlfn.TEXTJOIN("", TRUE, IF(ISNUMBER(--MID(A74, ROW(INDIRECT("1:" &amp; LEN(A74))), 1)), MID(A74, ROW(INDIRECT("1:" &amp; LEN(A74))), 1), ""))</f>
        <v>08055004476</v>
      </c>
      <c r="K74" t="str">
        <f t="shared" si="16"/>
        <v>Miss. Funke Ojo – 08055004476</v>
      </c>
      <c r="L74" t="str">
        <f t="shared" si="17"/>
        <v>WASHING MACHINE</v>
      </c>
      <c r="M74" t="str">
        <f t="shared" si="18"/>
        <v>miss.</v>
      </c>
      <c r="N74" t="str">
        <f t="shared" si="19"/>
        <v>Miss. Funke Ojo  08055004476</v>
      </c>
      <c r="O74">
        <f t="shared" si="20"/>
        <v>2024</v>
      </c>
      <c r="P74">
        <f t="shared" si="21"/>
        <v>11</v>
      </c>
      <c r="Q74">
        <f t="shared" si="22"/>
        <v>28</v>
      </c>
      <c r="R74" s="4" t="str">
        <f t="shared" si="23"/>
        <v>November</v>
      </c>
      <c r="S74" t="str">
        <f t="shared" si="24"/>
        <v>Q4</v>
      </c>
      <c r="T74" t="str">
        <f t="shared" si="25"/>
        <v>Yes</v>
      </c>
      <c r="U74">
        <f t="shared" si="26"/>
        <v>100416.764</v>
      </c>
      <c r="V74" t="str">
        <f t="shared" si="27"/>
        <v>Processed</v>
      </c>
      <c r="W74" t="str">
        <f t="shared" si="28"/>
        <v>Premium</v>
      </c>
      <c r="X74" t="str">
        <f t="shared" ca="1" si="29"/>
        <v>miss. Funke (08055004476)</v>
      </c>
      <c r="Y74" t="str">
        <f t="shared" si="30"/>
        <v>Dear miss. Funke Ojo, your purchase of Washing Machine worth ₦ 100416.764 is Processed</v>
      </c>
    </row>
    <row r="75" spans="1:25" x14ac:dyDescent="0.25">
      <c r="A75" t="s">
        <v>78</v>
      </c>
      <c r="B75" s="3">
        <v>45594</v>
      </c>
      <c r="C75" t="s">
        <v>114</v>
      </c>
      <c r="D75" s="6">
        <v>121039</v>
      </c>
      <c r="E75" t="s">
        <v>119</v>
      </c>
      <c r="F75" t="s">
        <v>120</v>
      </c>
      <c r="G75" t="s">
        <v>136</v>
      </c>
      <c r="H75" t="s">
        <v>141</v>
      </c>
      <c r="I75" t="s">
        <v>133</v>
      </c>
      <c r="J75" t="str" cm="1">
        <f t="array" aca="1" ref="J75" ca="1">_xlfn.TEXTJOIN("", TRUE, IF(ISNUMBER(--MID(A75, ROW(INDIRECT("1:" &amp; LEN(A75))), 1)), MID(A75, ROW(INDIRECT("1:" &amp; LEN(A75))), 1), ""))</f>
        <v>08188244427</v>
      </c>
      <c r="K75" t="str">
        <f t="shared" si="16"/>
        <v>Mr. Joseph Taiwo – 08188244427</v>
      </c>
      <c r="L75" t="str">
        <f t="shared" si="17"/>
        <v>REFRIGERATOR</v>
      </c>
      <c r="M75" t="str">
        <f t="shared" si="18"/>
        <v>mr.</v>
      </c>
      <c r="N75" t="str">
        <f t="shared" si="19"/>
        <v>Mr. Joseph Taiwo  08188244427</v>
      </c>
      <c r="O75">
        <f t="shared" si="20"/>
        <v>2024</v>
      </c>
      <c r="P75">
        <f t="shared" si="21"/>
        <v>10</v>
      </c>
      <c r="Q75">
        <f t="shared" si="22"/>
        <v>29</v>
      </c>
      <c r="R75" s="4" t="str">
        <f t="shared" si="23"/>
        <v>October</v>
      </c>
      <c r="S75" t="str">
        <f t="shared" si="24"/>
        <v>Q4</v>
      </c>
      <c r="T75" t="str">
        <f t="shared" si="25"/>
        <v>Yes</v>
      </c>
      <c r="U75">
        <f t="shared" si="26"/>
        <v>120857.4415</v>
      </c>
      <c r="V75" t="str">
        <f t="shared" si="27"/>
        <v>Processed</v>
      </c>
      <c r="W75" t="str">
        <f t="shared" si="28"/>
        <v>Premium</v>
      </c>
      <c r="X75" t="str">
        <f t="shared" ca="1" si="29"/>
        <v>mr. Joseph (08188244427)</v>
      </c>
      <c r="Y75" t="str">
        <f t="shared" si="30"/>
        <v>Dear mr. Joseph Taiwo, your purchase of Refrigerator worth ₦ 120857.4415 is Processed</v>
      </c>
    </row>
    <row r="76" spans="1:25" x14ac:dyDescent="0.25">
      <c r="A76" t="s">
        <v>79</v>
      </c>
      <c r="B76" s="3">
        <v>45504</v>
      </c>
      <c r="C76" t="s">
        <v>105</v>
      </c>
      <c r="D76" s="6">
        <v>104562</v>
      </c>
      <c r="E76" t="s">
        <v>119</v>
      </c>
      <c r="F76" t="s">
        <v>122</v>
      </c>
      <c r="G76" t="s">
        <v>126</v>
      </c>
      <c r="H76" t="s">
        <v>148</v>
      </c>
      <c r="I76" t="s">
        <v>151</v>
      </c>
      <c r="J76" t="str" cm="1">
        <f t="array" aca="1" ref="J76" ca="1">_xlfn.TEXTJOIN("", TRUE, IF(ISNUMBER(--MID(A76, ROW(INDIRECT("1:" &amp; LEN(A76))), 1)), MID(A76, ROW(INDIRECT("1:" &amp; LEN(A76))), 1), ""))</f>
        <v>07059505442</v>
      </c>
      <c r="K76" t="str">
        <f t="shared" si="16"/>
        <v>Miss. Emeka Johnson – 07059505442</v>
      </c>
      <c r="L76" t="str">
        <f t="shared" si="17"/>
        <v>STANDING FAN</v>
      </c>
      <c r="M76" t="str">
        <f t="shared" si="18"/>
        <v>miss.</v>
      </c>
      <c r="N76" t="str">
        <f t="shared" si="19"/>
        <v>Miss. Emeka Johnson  07059505442</v>
      </c>
      <c r="O76">
        <f t="shared" si="20"/>
        <v>2024</v>
      </c>
      <c r="P76">
        <f t="shared" si="21"/>
        <v>7</v>
      </c>
      <c r="Q76">
        <f t="shared" si="22"/>
        <v>31</v>
      </c>
      <c r="R76" s="4" t="str">
        <f t="shared" si="23"/>
        <v>July</v>
      </c>
      <c r="S76" t="str">
        <f t="shared" si="24"/>
        <v>Q3</v>
      </c>
      <c r="T76" t="str">
        <f t="shared" si="25"/>
        <v>Yes</v>
      </c>
      <c r="U76">
        <f t="shared" si="26"/>
        <v>104405.15700000001</v>
      </c>
      <c r="V76" t="str">
        <f t="shared" si="27"/>
        <v>Processed</v>
      </c>
      <c r="W76" t="str">
        <f t="shared" si="28"/>
        <v>Premium</v>
      </c>
      <c r="X76" t="str">
        <f t="shared" ca="1" si="29"/>
        <v>miss. Emeka (07059505442)</v>
      </c>
      <c r="Y76" t="str">
        <f t="shared" si="30"/>
        <v>Dear miss. Emeka Johnson, your purchase of Standing Fan worth ₦ 104405.157 is Processed</v>
      </c>
    </row>
    <row r="77" spans="1:25" x14ac:dyDescent="0.25">
      <c r="A77" t="s">
        <v>80</v>
      </c>
      <c r="B77" s="3">
        <v>45430</v>
      </c>
      <c r="C77" t="s">
        <v>108</v>
      </c>
      <c r="D77" s="6">
        <v>37676</v>
      </c>
      <c r="E77" t="s">
        <v>115</v>
      </c>
      <c r="F77" t="s">
        <v>120</v>
      </c>
      <c r="G77" t="s">
        <v>126</v>
      </c>
      <c r="H77" t="s">
        <v>154</v>
      </c>
      <c r="I77" t="s">
        <v>133</v>
      </c>
      <c r="J77" t="str" cm="1">
        <f t="array" aca="1" ref="J77" ca="1">_xlfn.TEXTJOIN("", TRUE, IF(ISNUMBER(--MID(A77, ROW(INDIRECT("1:" &amp; LEN(A77))), 1)), MID(A77, ROW(INDIRECT("1:" &amp; LEN(A77))), 1), ""))</f>
        <v>08100760502</v>
      </c>
      <c r="K77" t="str">
        <f t="shared" si="16"/>
        <v>Miss. Grace Taiwo – 08100760502</v>
      </c>
      <c r="L77" t="str">
        <f t="shared" si="17"/>
        <v>MICROWAVE</v>
      </c>
      <c r="M77" t="str">
        <f t="shared" si="18"/>
        <v>miss.</v>
      </c>
      <c r="N77" t="str">
        <f t="shared" si="19"/>
        <v>Miss. Grace Taiwo  08100760502</v>
      </c>
      <c r="O77">
        <f t="shared" si="20"/>
        <v>2024</v>
      </c>
      <c r="P77">
        <f t="shared" si="21"/>
        <v>5</v>
      </c>
      <c r="Q77">
        <f t="shared" si="22"/>
        <v>18</v>
      </c>
      <c r="R77" s="4" t="str">
        <f t="shared" si="23"/>
        <v>May</v>
      </c>
      <c r="S77" t="str">
        <f t="shared" si="24"/>
        <v>Q2</v>
      </c>
      <c r="T77" t="str">
        <f t="shared" si="25"/>
        <v>Yes</v>
      </c>
      <c r="U77">
        <f t="shared" si="26"/>
        <v>37638.324000000001</v>
      </c>
      <c r="V77" t="str">
        <f t="shared" si="27"/>
        <v>Processed</v>
      </c>
      <c r="W77" t="str">
        <f t="shared" si="28"/>
        <v>Regular</v>
      </c>
      <c r="X77" t="str">
        <f t="shared" ca="1" si="29"/>
        <v>miss. Grace (08100760502)</v>
      </c>
      <c r="Y77" t="str">
        <f t="shared" si="30"/>
        <v>Dear miss. Grace Taiwo, your purchase of Microwave worth ₦ 37638.324 is Processed</v>
      </c>
    </row>
    <row r="78" spans="1:25" x14ac:dyDescent="0.25">
      <c r="A78" t="s">
        <v>81</v>
      </c>
      <c r="B78" s="3">
        <v>45585</v>
      </c>
      <c r="C78" t="s">
        <v>109</v>
      </c>
      <c r="D78" s="6">
        <v>169943</v>
      </c>
      <c r="E78" t="s">
        <v>116</v>
      </c>
      <c r="F78" t="s">
        <v>122</v>
      </c>
      <c r="G78" t="s">
        <v>126</v>
      </c>
      <c r="H78" t="s">
        <v>135</v>
      </c>
      <c r="I78" t="s">
        <v>139</v>
      </c>
      <c r="J78" t="str" cm="1">
        <f t="array" aca="1" ref="J78" ca="1">_xlfn.TEXTJOIN("", TRUE, IF(ISNUMBER(--MID(A78, ROW(INDIRECT("1:" &amp; LEN(A78))), 1)), MID(A78, ROW(INDIRECT("1:" &amp; LEN(A78))), 1), ""))</f>
        <v>08166355560</v>
      </c>
      <c r="K78" t="str">
        <f t="shared" si="16"/>
        <v>Miss. Faith Yusuf – 08166355560</v>
      </c>
      <c r="L78" t="str">
        <f t="shared" si="17"/>
        <v>IRON</v>
      </c>
      <c r="M78" t="str">
        <f t="shared" si="18"/>
        <v>miss.</v>
      </c>
      <c r="N78" t="str">
        <f t="shared" si="19"/>
        <v>Miss. Faith Yusuf  08166355560</v>
      </c>
      <c r="O78">
        <f t="shared" si="20"/>
        <v>2024</v>
      </c>
      <c r="P78">
        <f t="shared" si="21"/>
        <v>10</v>
      </c>
      <c r="Q78">
        <f t="shared" si="22"/>
        <v>20</v>
      </c>
      <c r="R78" s="4" t="str">
        <f t="shared" si="23"/>
        <v>October</v>
      </c>
      <c r="S78" t="str">
        <f t="shared" si="24"/>
        <v>Q4</v>
      </c>
      <c r="T78" t="str">
        <f t="shared" si="25"/>
        <v>Yes</v>
      </c>
      <c r="U78">
        <f t="shared" si="26"/>
        <v>169603.114</v>
      </c>
      <c r="V78" t="str">
        <f t="shared" si="27"/>
        <v>Processed</v>
      </c>
      <c r="W78" t="str">
        <f t="shared" si="28"/>
        <v>Premium</v>
      </c>
      <c r="X78" t="str">
        <f t="shared" ca="1" si="29"/>
        <v>miss. Faith (08166355560)</v>
      </c>
      <c r="Y78" t="str">
        <f t="shared" si="30"/>
        <v>Dear miss. Faith Yusuf, your purchase of Iron worth ₦ 169603.114 is Processed</v>
      </c>
    </row>
    <row r="79" spans="1:25" x14ac:dyDescent="0.25">
      <c r="A79" t="s">
        <v>82</v>
      </c>
      <c r="B79" s="3">
        <v>45392</v>
      </c>
      <c r="C79" t="s">
        <v>109</v>
      </c>
      <c r="D79" s="6">
        <v>106307</v>
      </c>
      <c r="E79" t="s">
        <v>118</v>
      </c>
      <c r="F79" t="s">
        <v>121</v>
      </c>
      <c r="G79" t="s">
        <v>123</v>
      </c>
      <c r="H79" t="s">
        <v>124</v>
      </c>
      <c r="I79" t="s">
        <v>139</v>
      </c>
      <c r="J79" t="str" cm="1">
        <f t="array" aca="1" ref="J79" ca="1">_xlfn.TEXTJOIN("", TRUE, IF(ISNUMBER(--MID(A79, ROW(INDIRECT("1:" &amp; LEN(A79))), 1)), MID(A79, ROW(INDIRECT("1:" &amp; LEN(A79))), 1), ""))</f>
        <v>08056286063</v>
      </c>
      <c r="K79" t="str">
        <f t="shared" si="16"/>
        <v>Mrs. Chidi Yusuf – 08056286063</v>
      </c>
      <c r="L79" t="str">
        <f t="shared" si="17"/>
        <v>IRON</v>
      </c>
      <c r="M79" t="str">
        <f t="shared" si="18"/>
        <v>mrs.</v>
      </c>
      <c r="N79" t="str">
        <f t="shared" si="19"/>
        <v>Mrs. Chidi Yusuf  08056286063</v>
      </c>
      <c r="O79">
        <f t="shared" si="20"/>
        <v>2024</v>
      </c>
      <c r="P79">
        <f t="shared" si="21"/>
        <v>4</v>
      </c>
      <c r="Q79">
        <f t="shared" si="22"/>
        <v>10</v>
      </c>
      <c r="R79" s="4" t="str">
        <f t="shared" si="23"/>
        <v>April</v>
      </c>
      <c r="S79" t="str">
        <f t="shared" si="24"/>
        <v>Q2</v>
      </c>
      <c r="T79" t="str">
        <f t="shared" si="25"/>
        <v>Yes</v>
      </c>
      <c r="U79">
        <f t="shared" si="26"/>
        <v>106307</v>
      </c>
      <c r="V79" t="str">
        <f t="shared" si="27"/>
        <v>Pending</v>
      </c>
      <c r="W79" t="str">
        <f t="shared" si="28"/>
        <v>Premium</v>
      </c>
      <c r="X79" t="str">
        <f t="shared" ca="1" si="29"/>
        <v>mrs. Chidi (08056286063)</v>
      </c>
      <c r="Y79" t="str">
        <f t="shared" si="30"/>
        <v>Dear mrs. Chidi Yusuf, your purchase of Iron worth ₦ 106307 is Pending</v>
      </c>
    </row>
    <row r="80" spans="1:25" x14ac:dyDescent="0.25">
      <c r="A80" t="s">
        <v>83</v>
      </c>
      <c r="B80" s="3">
        <v>45380</v>
      </c>
      <c r="C80" t="s">
        <v>113</v>
      </c>
      <c r="D80" s="6">
        <v>129655</v>
      </c>
      <c r="E80" t="s">
        <v>115</v>
      </c>
      <c r="F80" t="s">
        <v>122</v>
      </c>
      <c r="G80" t="s">
        <v>136</v>
      </c>
      <c r="H80" t="s">
        <v>138</v>
      </c>
      <c r="I80" t="s">
        <v>160</v>
      </c>
      <c r="J80" t="str" cm="1">
        <f t="array" aca="1" ref="J80" ca="1">_xlfn.TEXTJOIN("", TRUE, IF(ISNUMBER(--MID(A80, ROW(INDIRECT("1:" &amp; LEN(A80))), 1)), MID(A80, ROW(INDIRECT("1:" &amp; LEN(A80))), 1), ""))</f>
        <v>08115471429</v>
      </c>
      <c r="K80" t="str">
        <f t="shared" si="16"/>
        <v>Mr. Halima Balogun – 08115471429</v>
      </c>
      <c r="L80" t="str">
        <f t="shared" si="17"/>
        <v>ELECTRIC KETTLE</v>
      </c>
      <c r="M80" t="str">
        <f t="shared" si="18"/>
        <v>mr.</v>
      </c>
      <c r="N80" t="str">
        <f t="shared" si="19"/>
        <v>Mr. Halima Balogun  08115471429</v>
      </c>
      <c r="O80">
        <f t="shared" si="20"/>
        <v>2024</v>
      </c>
      <c r="P80">
        <f t="shared" si="21"/>
        <v>3</v>
      </c>
      <c r="Q80">
        <f t="shared" si="22"/>
        <v>29</v>
      </c>
      <c r="R80" s="4" t="str">
        <f t="shared" si="23"/>
        <v>March</v>
      </c>
      <c r="S80" t="str">
        <f t="shared" si="24"/>
        <v>Q1</v>
      </c>
      <c r="T80" t="str">
        <f t="shared" si="25"/>
        <v>Yes</v>
      </c>
      <c r="U80">
        <f t="shared" si="26"/>
        <v>129525.345</v>
      </c>
      <c r="V80" t="str">
        <f t="shared" si="27"/>
        <v>Processed</v>
      </c>
      <c r="W80" t="str">
        <f t="shared" si="28"/>
        <v>Premium</v>
      </c>
      <c r="X80" t="str">
        <f t="shared" ca="1" si="29"/>
        <v>mr. Halima (08115471429)</v>
      </c>
      <c r="Y80" t="str">
        <f t="shared" si="30"/>
        <v>Dear mr. Halima Balogun, your purchase of Electric Kettle worth ₦ 129525.345 is Processed</v>
      </c>
    </row>
    <row r="81" spans="1:25" x14ac:dyDescent="0.25">
      <c r="A81" t="s">
        <v>84</v>
      </c>
      <c r="B81" s="3">
        <v>45371</v>
      </c>
      <c r="C81" t="s">
        <v>113</v>
      </c>
      <c r="D81" s="6">
        <v>22110</v>
      </c>
      <c r="E81" t="s">
        <v>117</v>
      </c>
      <c r="F81" t="s">
        <v>122</v>
      </c>
      <c r="G81" t="s">
        <v>136</v>
      </c>
      <c r="H81" t="s">
        <v>124</v>
      </c>
      <c r="I81" t="s">
        <v>159</v>
      </c>
      <c r="J81" t="str" cm="1">
        <f t="array" aca="1" ref="J81" ca="1">_xlfn.TEXTJOIN("", TRUE, IF(ISNUMBER(--MID(A81, ROW(INDIRECT("1:" &amp; LEN(A81))), 1)), MID(A81, ROW(INDIRECT("1:" &amp; LEN(A81))), 1), ""))</f>
        <v>08052617901</v>
      </c>
      <c r="K81" t="str">
        <f t="shared" si="16"/>
        <v>Mr. Chidi Afolabi – 08052617901</v>
      </c>
      <c r="L81" t="str">
        <f t="shared" si="17"/>
        <v>ELECTRIC KETTLE</v>
      </c>
      <c r="M81" t="str">
        <f t="shared" si="18"/>
        <v>mr.</v>
      </c>
      <c r="N81" t="str">
        <f t="shared" si="19"/>
        <v>Mr. Chidi Afolabi  08052617901</v>
      </c>
      <c r="O81">
        <f t="shared" si="20"/>
        <v>2024</v>
      </c>
      <c r="P81">
        <f t="shared" si="21"/>
        <v>3</v>
      </c>
      <c r="Q81">
        <f t="shared" si="22"/>
        <v>20</v>
      </c>
      <c r="R81" s="4" t="str">
        <f t="shared" si="23"/>
        <v>March</v>
      </c>
      <c r="S81" t="str">
        <f t="shared" si="24"/>
        <v>Q1</v>
      </c>
      <c r="T81" t="str">
        <f t="shared" si="25"/>
        <v>Yes</v>
      </c>
      <c r="U81">
        <f t="shared" si="26"/>
        <v>22098.945</v>
      </c>
      <c r="V81" t="str">
        <f t="shared" si="27"/>
        <v>Processed</v>
      </c>
      <c r="W81" t="str">
        <f t="shared" si="28"/>
        <v>Regular</v>
      </c>
      <c r="X81" t="str">
        <f t="shared" ca="1" si="29"/>
        <v>mr. Chidi (08052617901)</v>
      </c>
      <c r="Y81" t="str">
        <f t="shared" si="30"/>
        <v>Dear mr. Chidi Afolabi, your purchase of Electric Kettle worth ₦ 22098.945 is Processed</v>
      </c>
    </row>
    <row r="82" spans="1:25" x14ac:dyDescent="0.25">
      <c r="A82" t="s">
        <v>85</v>
      </c>
      <c r="B82" s="3">
        <v>45377</v>
      </c>
      <c r="C82" t="s">
        <v>110</v>
      </c>
      <c r="D82" s="6">
        <v>47044</v>
      </c>
      <c r="E82" t="s">
        <v>118</v>
      </c>
      <c r="F82" t="s">
        <v>121</v>
      </c>
      <c r="G82" t="s">
        <v>126</v>
      </c>
      <c r="H82" t="s">
        <v>141</v>
      </c>
      <c r="I82" t="s">
        <v>159</v>
      </c>
      <c r="J82" t="str" cm="1">
        <f t="array" aca="1" ref="J82" ca="1">_xlfn.TEXTJOIN("", TRUE, IF(ISNUMBER(--MID(A82, ROW(INDIRECT("1:" &amp; LEN(A82))), 1)), MID(A82, ROW(INDIRECT("1:" &amp; LEN(A82))), 1), ""))</f>
        <v>07017649882</v>
      </c>
      <c r="K82" t="str">
        <f t="shared" si="16"/>
        <v>Miss. Joseph Afolabi – 07017649882</v>
      </c>
      <c r="L82" t="str">
        <f t="shared" si="17"/>
        <v>BLENDER</v>
      </c>
      <c r="M82" t="str">
        <f t="shared" si="18"/>
        <v>miss.</v>
      </c>
      <c r="N82" t="str">
        <f t="shared" si="19"/>
        <v>Miss. Joseph Afolabi  07017649882</v>
      </c>
      <c r="O82">
        <f t="shared" si="20"/>
        <v>2024</v>
      </c>
      <c r="P82">
        <f t="shared" si="21"/>
        <v>3</v>
      </c>
      <c r="Q82">
        <f t="shared" si="22"/>
        <v>26</v>
      </c>
      <c r="R82" s="4" t="str">
        <f t="shared" si="23"/>
        <v>March</v>
      </c>
      <c r="S82" t="str">
        <f t="shared" si="24"/>
        <v>Q1</v>
      </c>
      <c r="T82" t="str">
        <f t="shared" si="25"/>
        <v>Yes</v>
      </c>
      <c r="U82">
        <f t="shared" si="26"/>
        <v>47044</v>
      </c>
      <c r="V82" t="str">
        <f t="shared" si="27"/>
        <v>Pending</v>
      </c>
      <c r="W82" t="str">
        <f t="shared" si="28"/>
        <v>Regular</v>
      </c>
      <c r="X82" t="str">
        <f t="shared" ca="1" si="29"/>
        <v>miss. Joseph (07017649882)</v>
      </c>
      <c r="Y82" t="str">
        <f t="shared" si="30"/>
        <v>Dear miss. Joseph Afolabi, your purchase of Blender worth ₦ 47044 is Pending</v>
      </c>
    </row>
    <row r="83" spans="1:25" x14ac:dyDescent="0.25">
      <c r="A83" t="s">
        <v>86</v>
      </c>
      <c r="B83" s="3">
        <v>45460</v>
      </c>
      <c r="C83" t="s">
        <v>109</v>
      </c>
      <c r="D83" s="6">
        <v>142155</v>
      </c>
      <c r="E83" t="s">
        <v>118</v>
      </c>
      <c r="F83" t="s">
        <v>122</v>
      </c>
      <c r="G83" t="s">
        <v>126</v>
      </c>
      <c r="H83" t="s">
        <v>141</v>
      </c>
      <c r="I83" t="s">
        <v>163</v>
      </c>
      <c r="J83" t="str" cm="1">
        <f t="array" aca="1" ref="J83" ca="1">_xlfn.TEXTJOIN("", TRUE, IF(ISNUMBER(--MID(A83, ROW(INDIRECT("1:" &amp; LEN(A83))), 1)), MID(A83, ROW(INDIRECT("1:" &amp; LEN(A83))), 1), ""))</f>
        <v>08141245498</v>
      </c>
      <c r="K83" t="str">
        <f t="shared" si="16"/>
        <v>Miss. Joseph Agbo – 08141245498</v>
      </c>
      <c r="L83" t="str">
        <f t="shared" si="17"/>
        <v>IRON</v>
      </c>
      <c r="M83" t="str">
        <f t="shared" si="18"/>
        <v>miss.</v>
      </c>
      <c r="N83" t="str">
        <f t="shared" si="19"/>
        <v>Miss. Joseph Agbo  08141245498</v>
      </c>
      <c r="O83">
        <f t="shared" si="20"/>
        <v>2024</v>
      </c>
      <c r="P83">
        <f t="shared" si="21"/>
        <v>6</v>
      </c>
      <c r="Q83">
        <f t="shared" si="22"/>
        <v>17</v>
      </c>
      <c r="R83" s="4" t="str">
        <f t="shared" si="23"/>
        <v>June</v>
      </c>
      <c r="S83" t="str">
        <f t="shared" si="24"/>
        <v>Q2</v>
      </c>
      <c r="T83" t="str">
        <f t="shared" si="25"/>
        <v>Yes</v>
      </c>
      <c r="U83">
        <f t="shared" si="26"/>
        <v>142155</v>
      </c>
      <c r="V83" t="str">
        <f t="shared" si="27"/>
        <v>Processed</v>
      </c>
      <c r="W83" t="str">
        <f t="shared" si="28"/>
        <v>Premium</v>
      </c>
      <c r="X83" t="str">
        <f t="shared" ca="1" si="29"/>
        <v>miss. Joseph (08141245498)</v>
      </c>
      <c r="Y83" t="str">
        <f t="shared" si="30"/>
        <v>Dear miss. Joseph Agbo, your purchase of Iron worth ₦ 142155 is Processed</v>
      </c>
    </row>
    <row r="84" spans="1:25" x14ac:dyDescent="0.25">
      <c r="A84" t="s">
        <v>87</v>
      </c>
      <c r="B84" s="3">
        <v>45371</v>
      </c>
      <c r="C84" t="s">
        <v>114</v>
      </c>
      <c r="D84" s="6">
        <v>151056</v>
      </c>
      <c r="E84" t="s">
        <v>119</v>
      </c>
      <c r="F84" t="s">
        <v>121</v>
      </c>
      <c r="G84" t="s">
        <v>134</v>
      </c>
      <c r="H84" t="s">
        <v>130</v>
      </c>
      <c r="I84" t="s">
        <v>137</v>
      </c>
      <c r="J84" t="str" cm="1">
        <f t="array" aca="1" ref="J84" ca="1">_xlfn.TEXTJOIN("", TRUE, IF(ISNUMBER(--MID(A84, ROW(INDIRECT("1:" &amp; LEN(A84))), 1)), MID(A84, ROW(INDIRECT("1:" &amp; LEN(A84))), 1), ""))</f>
        <v>08119473665</v>
      </c>
      <c r="K84" t="str">
        <f t="shared" si="16"/>
        <v>Dr. Paul Ade – 08119473665</v>
      </c>
      <c r="L84" t="str">
        <f t="shared" si="17"/>
        <v>REFRIGERATOR</v>
      </c>
      <c r="M84" t="str">
        <f t="shared" si="18"/>
        <v>dr.</v>
      </c>
      <c r="N84" t="str">
        <f t="shared" si="19"/>
        <v>Dr. Paul Ade  08119473665</v>
      </c>
      <c r="O84">
        <f t="shared" si="20"/>
        <v>2024</v>
      </c>
      <c r="P84">
        <f t="shared" si="21"/>
        <v>3</v>
      </c>
      <c r="Q84">
        <f t="shared" si="22"/>
        <v>20</v>
      </c>
      <c r="R84" s="4" t="str">
        <f t="shared" si="23"/>
        <v>March</v>
      </c>
      <c r="S84" t="str">
        <f t="shared" si="24"/>
        <v>Q1</v>
      </c>
      <c r="T84" t="str">
        <f t="shared" si="25"/>
        <v>Yes</v>
      </c>
      <c r="U84">
        <f t="shared" si="26"/>
        <v>150829.416</v>
      </c>
      <c r="V84" t="str">
        <f t="shared" si="27"/>
        <v>Pending</v>
      </c>
      <c r="W84" t="str">
        <f t="shared" si="28"/>
        <v>Premium</v>
      </c>
      <c r="X84" t="str">
        <f t="shared" ca="1" si="29"/>
        <v>dr. Paul (08119473665)</v>
      </c>
      <c r="Y84" t="str">
        <f t="shared" si="30"/>
        <v>Dear dr. Paul Ade, your purchase of Refrigerator worth ₦ 150829.416 is Pending</v>
      </c>
    </row>
    <row r="85" spans="1:25" x14ac:dyDescent="0.25">
      <c r="A85" t="s">
        <v>88</v>
      </c>
      <c r="B85" s="3">
        <v>45322</v>
      </c>
      <c r="C85" t="s">
        <v>114</v>
      </c>
      <c r="D85" s="6">
        <v>44558</v>
      </c>
      <c r="E85" t="s">
        <v>119</v>
      </c>
      <c r="F85" t="s">
        <v>121</v>
      </c>
      <c r="G85" t="s">
        <v>136</v>
      </c>
      <c r="H85" t="s">
        <v>157</v>
      </c>
      <c r="I85" t="s">
        <v>125</v>
      </c>
      <c r="J85" t="str" cm="1">
        <f t="array" aca="1" ref="J85" ca="1">_xlfn.TEXTJOIN("", TRUE, IF(ISNUMBER(--MID(A85, ROW(INDIRECT("1:" &amp; LEN(A85))), 1)), MID(A85, ROW(INDIRECT("1:" &amp; LEN(A85))), 1), ""))</f>
        <v>09023493647</v>
      </c>
      <c r="K85" t="str">
        <f t="shared" si="16"/>
        <v>Mr. Bola Lawal – 09023493647</v>
      </c>
      <c r="L85" t="str">
        <f t="shared" si="17"/>
        <v>REFRIGERATOR</v>
      </c>
      <c r="M85" t="str">
        <f t="shared" si="18"/>
        <v>mr.</v>
      </c>
      <c r="N85" t="str">
        <f t="shared" si="19"/>
        <v>Mr. Bola Lawal  09023493647</v>
      </c>
      <c r="O85">
        <f t="shared" si="20"/>
        <v>2024</v>
      </c>
      <c r="P85">
        <f t="shared" si="21"/>
        <v>1</v>
      </c>
      <c r="Q85">
        <f t="shared" si="22"/>
        <v>31</v>
      </c>
      <c r="R85" s="4" t="str">
        <f t="shared" si="23"/>
        <v>January</v>
      </c>
      <c r="S85" t="str">
        <f t="shared" si="24"/>
        <v>Q1</v>
      </c>
      <c r="T85" t="str">
        <f t="shared" si="25"/>
        <v>Yes</v>
      </c>
      <c r="U85">
        <f t="shared" si="26"/>
        <v>44491.163</v>
      </c>
      <c r="V85" t="str">
        <f t="shared" si="27"/>
        <v>Pending</v>
      </c>
      <c r="W85" t="str">
        <f t="shared" si="28"/>
        <v>Regular</v>
      </c>
      <c r="X85" t="str">
        <f t="shared" ca="1" si="29"/>
        <v>mr. Bola (09023493647)</v>
      </c>
      <c r="Y85" t="str">
        <f t="shared" si="30"/>
        <v>Dear mr. Bola Lawal, your purchase of Refrigerator worth ₦ 44491.163 is Pending</v>
      </c>
    </row>
    <row r="86" spans="1:25" x14ac:dyDescent="0.25">
      <c r="A86" t="s">
        <v>89</v>
      </c>
      <c r="B86" s="3">
        <v>45530</v>
      </c>
      <c r="C86" t="s">
        <v>107</v>
      </c>
      <c r="D86" s="6">
        <v>113081</v>
      </c>
      <c r="E86" t="s">
        <v>115</v>
      </c>
      <c r="F86" t="s">
        <v>120</v>
      </c>
      <c r="G86" t="s">
        <v>134</v>
      </c>
      <c r="H86" t="s">
        <v>141</v>
      </c>
      <c r="I86" t="s">
        <v>163</v>
      </c>
      <c r="J86" t="str" cm="1">
        <f t="array" aca="1" ref="J86" ca="1">_xlfn.TEXTJOIN("", TRUE, IF(ISNUMBER(--MID(A86, ROW(INDIRECT("1:" &amp; LEN(A86))), 1)), MID(A86, ROW(INDIRECT("1:" &amp; LEN(A86))), 1), ""))</f>
        <v>08167990832</v>
      </c>
      <c r="K86" t="str">
        <f t="shared" si="16"/>
        <v>Dr. Joseph Agbo – 08167990832</v>
      </c>
      <c r="L86" t="str">
        <f t="shared" si="17"/>
        <v>TOASTER</v>
      </c>
      <c r="M86" t="str">
        <f t="shared" si="18"/>
        <v>dr.</v>
      </c>
      <c r="N86" t="str">
        <f t="shared" si="19"/>
        <v>Dr. Joseph Agbo  08167990832</v>
      </c>
      <c r="O86">
        <f t="shared" si="20"/>
        <v>2024</v>
      </c>
      <c r="P86">
        <f t="shared" si="21"/>
        <v>8</v>
      </c>
      <c r="Q86">
        <f t="shared" si="22"/>
        <v>26</v>
      </c>
      <c r="R86" s="4" t="str">
        <f t="shared" si="23"/>
        <v>August</v>
      </c>
      <c r="S86" t="str">
        <f t="shared" si="24"/>
        <v>Q3</v>
      </c>
      <c r="T86" t="str">
        <f t="shared" si="25"/>
        <v>Yes</v>
      </c>
      <c r="U86">
        <f t="shared" si="26"/>
        <v>112967.91899999999</v>
      </c>
      <c r="V86" t="str">
        <f t="shared" si="27"/>
        <v>Processed</v>
      </c>
      <c r="W86" t="str">
        <f t="shared" si="28"/>
        <v>Premium</v>
      </c>
      <c r="X86" t="str">
        <f t="shared" ca="1" si="29"/>
        <v>dr. Joseph (08167990832)</v>
      </c>
      <c r="Y86" t="str">
        <f t="shared" si="30"/>
        <v>Dear dr. Joseph Agbo, your purchase of Toaster worth ₦ 112967.919 is Processed</v>
      </c>
    </row>
    <row r="87" spans="1:25" x14ac:dyDescent="0.25">
      <c r="A87" t="s">
        <v>90</v>
      </c>
      <c r="B87" s="3">
        <v>45645</v>
      </c>
      <c r="C87" t="s">
        <v>110</v>
      </c>
      <c r="D87" s="6">
        <v>127199</v>
      </c>
      <c r="E87" t="s">
        <v>116</v>
      </c>
      <c r="F87" t="s">
        <v>121</v>
      </c>
      <c r="G87" t="s">
        <v>134</v>
      </c>
      <c r="H87" t="s">
        <v>130</v>
      </c>
      <c r="I87" t="s">
        <v>137</v>
      </c>
      <c r="J87" t="str" cm="1">
        <f t="array" aca="1" ref="J87" ca="1">_xlfn.TEXTJOIN("", TRUE, IF(ISNUMBER(--MID(A87, ROW(INDIRECT("1:" &amp; LEN(A87))), 1)), MID(A87, ROW(INDIRECT("1:" &amp; LEN(A87))), 1), ""))</f>
        <v>09097326549</v>
      </c>
      <c r="K87" t="str">
        <f t="shared" si="16"/>
        <v>Dr. Paul Ade – 09097326549</v>
      </c>
      <c r="L87" t="str">
        <f t="shared" si="17"/>
        <v>BLENDER</v>
      </c>
      <c r="M87" t="str">
        <f t="shared" si="18"/>
        <v>dr.</v>
      </c>
      <c r="N87" t="str">
        <f t="shared" si="19"/>
        <v>Dr. Paul Ade  09097326549</v>
      </c>
      <c r="O87">
        <f t="shared" si="20"/>
        <v>2024</v>
      </c>
      <c r="P87">
        <f t="shared" si="21"/>
        <v>12</v>
      </c>
      <c r="Q87">
        <f t="shared" si="22"/>
        <v>19</v>
      </c>
      <c r="R87" s="4" t="str">
        <f t="shared" si="23"/>
        <v>December</v>
      </c>
      <c r="S87" t="str">
        <f t="shared" si="24"/>
        <v>Q4</v>
      </c>
      <c r="T87" t="str">
        <f t="shared" si="25"/>
        <v>Yes</v>
      </c>
      <c r="U87">
        <f t="shared" si="26"/>
        <v>126944.602</v>
      </c>
      <c r="V87" t="str">
        <f t="shared" si="27"/>
        <v>Pending</v>
      </c>
      <c r="W87" t="str">
        <f t="shared" si="28"/>
        <v>Premium</v>
      </c>
      <c r="X87" t="str">
        <f t="shared" ca="1" si="29"/>
        <v>dr. Paul (09097326549)</v>
      </c>
      <c r="Y87" t="str">
        <f t="shared" si="30"/>
        <v>Dear dr. Paul Ade, your purchase of Blender worth ₦ 126944.602 is Pending</v>
      </c>
    </row>
    <row r="88" spans="1:25" x14ac:dyDescent="0.25">
      <c r="A88" t="s">
        <v>91</v>
      </c>
      <c r="B88" s="3">
        <v>45604</v>
      </c>
      <c r="C88" t="s">
        <v>111</v>
      </c>
      <c r="D88" s="6">
        <v>56900</v>
      </c>
      <c r="E88" t="s">
        <v>116</v>
      </c>
      <c r="F88" t="s">
        <v>120</v>
      </c>
      <c r="G88" t="s">
        <v>136</v>
      </c>
      <c r="H88" t="s">
        <v>128</v>
      </c>
      <c r="I88" t="s">
        <v>153</v>
      </c>
      <c r="J88" t="str" cm="1">
        <f t="array" aca="1" ref="J88" ca="1">_xlfn.TEXTJOIN("", TRUE, IF(ISNUMBER(--MID(A88, ROW(INDIRECT("1:" &amp; LEN(A88))), 1)), MID(A88, ROW(INDIRECT("1:" &amp; LEN(A88))), 1), ""))</f>
        <v>07021693691</v>
      </c>
      <c r="K88" t="str">
        <f t="shared" si="16"/>
        <v>Mr. Peter Okafor – 07021693691</v>
      </c>
      <c r="L88" t="str">
        <f t="shared" si="17"/>
        <v>GAS COOKER</v>
      </c>
      <c r="M88" t="str">
        <f t="shared" si="18"/>
        <v>mr.</v>
      </c>
      <c r="N88" t="str">
        <f t="shared" si="19"/>
        <v>Mr. Peter Okafor  07021693691</v>
      </c>
      <c r="O88">
        <f t="shared" si="20"/>
        <v>2024</v>
      </c>
      <c r="P88">
        <f t="shared" si="21"/>
        <v>11</v>
      </c>
      <c r="Q88">
        <f t="shared" si="22"/>
        <v>8</v>
      </c>
      <c r="R88" s="4" t="str">
        <f t="shared" si="23"/>
        <v>November</v>
      </c>
      <c r="S88" t="str">
        <f t="shared" si="24"/>
        <v>Q4</v>
      </c>
      <c r="T88" t="str">
        <f t="shared" si="25"/>
        <v>Yes</v>
      </c>
      <c r="U88">
        <f t="shared" si="26"/>
        <v>56786.2</v>
      </c>
      <c r="V88" t="str">
        <f t="shared" si="27"/>
        <v>Processed</v>
      </c>
      <c r="W88" t="str">
        <f t="shared" si="28"/>
        <v>Premium</v>
      </c>
      <c r="X88" t="str">
        <f t="shared" ca="1" si="29"/>
        <v>mr. Peter (07021693691)</v>
      </c>
      <c r="Y88" t="str">
        <f t="shared" si="30"/>
        <v>Dear mr. Peter Okafor, your purchase of Gas Cooker worth ₦ 56786.2 is Processed</v>
      </c>
    </row>
    <row r="89" spans="1:25" x14ac:dyDescent="0.25">
      <c r="A89" t="s">
        <v>92</v>
      </c>
      <c r="B89" s="3">
        <v>45624</v>
      </c>
      <c r="C89" t="s">
        <v>109</v>
      </c>
      <c r="D89" s="6">
        <v>63587</v>
      </c>
      <c r="E89" t="s">
        <v>116</v>
      </c>
      <c r="F89" t="s">
        <v>122</v>
      </c>
      <c r="G89" t="s">
        <v>134</v>
      </c>
      <c r="H89" t="s">
        <v>146</v>
      </c>
      <c r="I89" t="s">
        <v>151</v>
      </c>
      <c r="J89" t="str" cm="1">
        <f t="array" aca="1" ref="J89" ca="1">_xlfn.TEXTJOIN("", TRUE, IF(ISNUMBER(--MID(A89, ROW(INDIRECT("1:" &amp; LEN(A89))), 1)), MID(A89, ROW(INDIRECT("1:" &amp; LEN(A89))), 1), ""))</f>
        <v>08077931286</v>
      </c>
      <c r="K89" t="str">
        <f t="shared" si="16"/>
        <v>Dr. Ruth Johnson – 08077931286</v>
      </c>
      <c r="L89" t="str">
        <f t="shared" si="17"/>
        <v>IRON</v>
      </c>
      <c r="M89" t="str">
        <f t="shared" si="18"/>
        <v>dr.</v>
      </c>
      <c r="N89" t="str">
        <f t="shared" si="19"/>
        <v>Dr. Ruth Johnson  08077931286</v>
      </c>
      <c r="O89">
        <f t="shared" si="20"/>
        <v>2024</v>
      </c>
      <c r="P89">
        <f t="shared" si="21"/>
        <v>11</v>
      </c>
      <c r="Q89">
        <f t="shared" si="22"/>
        <v>28</v>
      </c>
      <c r="R89" s="4" t="str">
        <f t="shared" si="23"/>
        <v>November</v>
      </c>
      <c r="S89" t="str">
        <f t="shared" si="24"/>
        <v>Q4</v>
      </c>
      <c r="T89" t="str">
        <f t="shared" si="25"/>
        <v>Yes</v>
      </c>
      <c r="U89">
        <f t="shared" si="26"/>
        <v>63459.826000000001</v>
      </c>
      <c r="V89" t="str">
        <f t="shared" si="27"/>
        <v>Processed</v>
      </c>
      <c r="W89" t="str">
        <f t="shared" si="28"/>
        <v>Premium</v>
      </c>
      <c r="X89" t="str">
        <f t="shared" ca="1" si="29"/>
        <v>dr. Ruth (08077931286)</v>
      </c>
      <c r="Y89" t="str">
        <f t="shared" si="30"/>
        <v>Dear dr. Ruth Johnson, your purchase of Iron worth ₦ 63459.826 is Processed</v>
      </c>
    </row>
    <row r="90" spans="1:25" x14ac:dyDescent="0.25">
      <c r="A90" t="s">
        <v>93</v>
      </c>
      <c r="B90" s="3">
        <v>45535</v>
      </c>
      <c r="C90" t="s">
        <v>109</v>
      </c>
      <c r="D90" s="6">
        <v>198198</v>
      </c>
      <c r="E90" t="s">
        <v>118</v>
      </c>
      <c r="F90" t="s">
        <v>122</v>
      </c>
      <c r="G90" t="s">
        <v>126</v>
      </c>
      <c r="H90" t="s">
        <v>135</v>
      </c>
      <c r="I90" t="s">
        <v>129</v>
      </c>
      <c r="J90" t="str" cm="1">
        <f t="array" aca="1" ref="J90" ca="1">_xlfn.TEXTJOIN("", TRUE, IF(ISNUMBER(--MID(A90, ROW(INDIRECT("1:" &amp; LEN(A90))), 1)), MID(A90, ROW(INDIRECT("1:" &amp; LEN(A90))), 1), ""))</f>
        <v>09063218189</v>
      </c>
      <c r="K90" t="str">
        <f t="shared" si="16"/>
        <v>Miss. Faith Ojo – 09063218189</v>
      </c>
      <c r="L90" t="str">
        <f t="shared" si="17"/>
        <v>IRON</v>
      </c>
      <c r="M90" t="str">
        <f t="shared" si="18"/>
        <v>miss.</v>
      </c>
      <c r="N90" t="str">
        <f t="shared" si="19"/>
        <v>Miss. Faith Ojo  09063218189</v>
      </c>
      <c r="O90">
        <f t="shared" si="20"/>
        <v>2024</v>
      </c>
      <c r="P90">
        <f t="shared" si="21"/>
        <v>8</v>
      </c>
      <c r="Q90">
        <f t="shared" si="22"/>
        <v>31</v>
      </c>
      <c r="R90" s="4" t="str">
        <f t="shared" si="23"/>
        <v>August</v>
      </c>
      <c r="S90" t="str">
        <f t="shared" si="24"/>
        <v>Q3</v>
      </c>
      <c r="T90" t="str">
        <f t="shared" si="25"/>
        <v>Yes</v>
      </c>
      <c r="U90">
        <f t="shared" si="26"/>
        <v>198198</v>
      </c>
      <c r="V90" t="str">
        <f t="shared" si="27"/>
        <v>Processed</v>
      </c>
      <c r="W90" t="str">
        <f t="shared" si="28"/>
        <v>Premium</v>
      </c>
      <c r="X90" t="str">
        <f t="shared" ca="1" si="29"/>
        <v>miss. Faith (09063218189)</v>
      </c>
      <c r="Y90" t="str">
        <f t="shared" si="30"/>
        <v>Dear miss. Faith Ojo, your purchase of Iron worth ₦ 198198 is Processed</v>
      </c>
    </row>
    <row r="91" spans="1:25" x14ac:dyDescent="0.25">
      <c r="A91" t="s">
        <v>94</v>
      </c>
      <c r="B91" s="3">
        <v>45477</v>
      </c>
      <c r="C91" t="s">
        <v>106</v>
      </c>
      <c r="D91" s="6">
        <v>128187</v>
      </c>
      <c r="E91" t="s">
        <v>115</v>
      </c>
      <c r="F91" t="s">
        <v>120</v>
      </c>
      <c r="G91" t="s">
        <v>126</v>
      </c>
      <c r="H91" t="s">
        <v>161</v>
      </c>
      <c r="I91" t="s">
        <v>152</v>
      </c>
      <c r="J91" t="str" cm="1">
        <f t="array" aca="1" ref="J91" ca="1">_xlfn.TEXTJOIN("", TRUE, IF(ISNUMBER(--MID(A91, ROW(INDIRECT("1:" &amp; LEN(A91))), 1)), MID(A91, ROW(INDIRECT("1:" &amp; LEN(A91))), 1), ""))</f>
        <v>09056660380</v>
      </c>
      <c r="K91" t="str">
        <f t="shared" si="16"/>
        <v>Miss. John Adewale – 09056660380</v>
      </c>
      <c r="L91" t="str">
        <f t="shared" si="17"/>
        <v>WASHING MACHINE</v>
      </c>
      <c r="M91" t="str">
        <f t="shared" si="18"/>
        <v>miss.</v>
      </c>
      <c r="N91" t="str">
        <f t="shared" si="19"/>
        <v>Miss. John Adewale  09056660380</v>
      </c>
      <c r="O91">
        <f t="shared" si="20"/>
        <v>2024</v>
      </c>
      <c r="P91">
        <f t="shared" si="21"/>
        <v>7</v>
      </c>
      <c r="Q91">
        <f t="shared" si="22"/>
        <v>4</v>
      </c>
      <c r="R91" s="4" t="str">
        <f t="shared" si="23"/>
        <v>July</v>
      </c>
      <c r="S91" t="str">
        <f t="shared" si="24"/>
        <v>Q3</v>
      </c>
      <c r="T91" t="str">
        <f t="shared" si="25"/>
        <v>Yes</v>
      </c>
      <c r="U91">
        <f t="shared" si="26"/>
        <v>128058.81299999999</v>
      </c>
      <c r="V91" t="str">
        <f t="shared" si="27"/>
        <v>Processed</v>
      </c>
      <c r="W91" t="str">
        <f t="shared" si="28"/>
        <v>Premium</v>
      </c>
      <c r="X91" t="str">
        <f t="shared" ca="1" si="29"/>
        <v>miss. John (09056660380)</v>
      </c>
      <c r="Y91" t="str">
        <f t="shared" si="30"/>
        <v>Dear miss. John Adewale, your purchase of Washing Machine worth ₦ 128058.813 is Processed</v>
      </c>
    </row>
    <row r="92" spans="1:25" x14ac:dyDescent="0.25">
      <c r="A92" t="s">
        <v>95</v>
      </c>
      <c r="B92" s="3">
        <v>45363</v>
      </c>
      <c r="C92" t="s">
        <v>112</v>
      </c>
      <c r="D92" s="6">
        <v>19047</v>
      </c>
      <c r="E92" t="s">
        <v>118</v>
      </c>
      <c r="F92" t="s">
        <v>121</v>
      </c>
      <c r="G92" t="s">
        <v>126</v>
      </c>
      <c r="H92" t="s">
        <v>128</v>
      </c>
      <c r="I92" t="s">
        <v>125</v>
      </c>
      <c r="J92" t="str" cm="1">
        <f t="array" aca="1" ref="J92" ca="1">_xlfn.TEXTJOIN("", TRUE, IF(ISNUMBER(--MID(A92, ROW(INDIRECT("1:" &amp; LEN(A92))), 1)), MID(A92, ROW(INDIRECT("1:" &amp; LEN(A92))), 1), ""))</f>
        <v>07085037176</v>
      </c>
      <c r="K92" t="str">
        <f t="shared" si="16"/>
        <v>Miss. Peter Lawal – 07085037176</v>
      </c>
      <c r="L92" t="str">
        <f t="shared" si="17"/>
        <v>CEILING FAN</v>
      </c>
      <c r="M92" t="str">
        <f t="shared" si="18"/>
        <v>miss.</v>
      </c>
      <c r="N92" t="str">
        <f t="shared" si="19"/>
        <v>Miss. Peter Lawal  07085037176</v>
      </c>
      <c r="O92">
        <f t="shared" si="20"/>
        <v>2024</v>
      </c>
      <c r="P92">
        <f t="shared" si="21"/>
        <v>3</v>
      </c>
      <c r="Q92">
        <f t="shared" si="22"/>
        <v>12</v>
      </c>
      <c r="R92" s="4" t="str">
        <f t="shared" si="23"/>
        <v>March</v>
      </c>
      <c r="S92" t="str">
        <f t="shared" si="24"/>
        <v>Q1</v>
      </c>
      <c r="T92" t="str">
        <f t="shared" si="25"/>
        <v>Yes</v>
      </c>
      <c r="U92">
        <f t="shared" si="26"/>
        <v>19047</v>
      </c>
      <c r="V92" t="str">
        <f t="shared" si="27"/>
        <v>Pending</v>
      </c>
      <c r="W92" t="str">
        <f t="shared" si="28"/>
        <v>Regular</v>
      </c>
      <c r="X92" t="str">
        <f t="shared" ca="1" si="29"/>
        <v>miss. Peter (07085037176)</v>
      </c>
      <c r="Y92" t="str">
        <f t="shared" si="30"/>
        <v>Dear miss. Peter Lawal, your purchase of Ceiling Fan worth ₦ 19047 is Pending</v>
      </c>
    </row>
    <row r="93" spans="1:25" x14ac:dyDescent="0.25">
      <c r="A93" t="s">
        <v>96</v>
      </c>
      <c r="B93" s="3">
        <v>45437</v>
      </c>
      <c r="C93" t="s">
        <v>110</v>
      </c>
      <c r="D93" s="6">
        <v>150246</v>
      </c>
      <c r="E93" t="s">
        <v>118</v>
      </c>
      <c r="F93" t="s">
        <v>120</v>
      </c>
      <c r="G93" t="s">
        <v>136</v>
      </c>
      <c r="H93" t="s">
        <v>148</v>
      </c>
      <c r="I93" t="s">
        <v>125</v>
      </c>
      <c r="J93" t="str" cm="1">
        <f t="array" aca="1" ref="J93" ca="1">_xlfn.TEXTJOIN("", TRUE, IF(ISNUMBER(--MID(A93, ROW(INDIRECT("1:" &amp; LEN(A93))), 1)), MID(A93, ROW(INDIRECT("1:" &amp; LEN(A93))), 1), ""))</f>
        <v>08030356304</v>
      </c>
      <c r="K93" t="str">
        <f t="shared" si="16"/>
        <v>Mr. Emeka Lawal – 08030356304</v>
      </c>
      <c r="L93" t="str">
        <f t="shared" si="17"/>
        <v>BLENDER</v>
      </c>
      <c r="M93" t="str">
        <f t="shared" si="18"/>
        <v>mr.</v>
      </c>
      <c r="N93" t="str">
        <f t="shared" si="19"/>
        <v>Mr. Emeka Lawal  08030356304</v>
      </c>
      <c r="O93">
        <f t="shared" si="20"/>
        <v>2024</v>
      </c>
      <c r="P93">
        <f t="shared" si="21"/>
        <v>5</v>
      </c>
      <c r="Q93">
        <f t="shared" si="22"/>
        <v>25</v>
      </c>
      <c r="R93" s="4" t="str">
        <f t="shared" si="23"/>
        <v>May</v>
      </c>
      <c r="S93" t="str">
        <f t="shared" si="24"/>
        <v>Q2</v>
      </c>
      <c r="T93" t="str">
        <f t="shared" si="25"/>
        <v>Yes</v>
      </c>
      <c r="U93">
        <f t="shared" si="26"/>
        <v>150246</v>
      </c>
      <c r="V93" t="str">
        <f t="shared" si="27"/>
        <v>Processed</v>
      </c>
      <c r="W93" t="str">
        <f t="shared" si="28"/>
        <v>Premium</v>
      </c>
      <c r="X93" t="str">
        <f t="shared" ca="1" si="29"/>
        <v>mr. Emeka (08030356304)</v>
      </c>
      <c r="Y93" t="str">
        <f t="shared" si="30"/>
        <v>Dear mr. Emeka Lawal, your purchase of Blender worth ₦ 150246 is Processed</v>
      </c>
    </row>
    <row r="94" spans="1:25" x14ac:dyDescent="0.25">
      <c r="A94" t="s">
        <v>97</v>
      </c>
      <c r="B94" s="3">
        <v>45341</v>
      </c>
      <c r="C94" t="s">
        <v>106</v>
      </c>
      <c r="D94" s="6">
        <v>117665</v>
      </c>
      <c r="E94" t="s">
        <v>115</v>
      </c>
      <c r="F94" t="s">
        <v>120</v>
      </c>
      <c r="G94" t="s">
        <v>136</v>
      </c>
      <c r="H94" t="s">
        <v>146</v>
      </c>
      <c r="I94" t="s">
        <v>139</v>
      </c>
      <c r="J94" t="str" cm="1">
        <f t="array" aca="1" ref="J94" ca="1">_xlfn.TEXTJOIN("", TRUE, IF(ISNUMBER(--MID(A94, ROW(INDIRECT("1:" &amp; LEN(A94))), 1)), MID(A94, ROW(INDIRECT("1:" &amp; LEN(A94))), 1), ""))</f>
        <v>09062258856</v>
      </c>
      <c r="K94" t="str">
        <f t="shared" si="16"/>
        <v>Mr. Ruth Yusuf – 09062258856</v>
      </c>
      <c r="L94" t="str">
        <f t="shared" si="17"/>
        <v>WASHING MACHINE</v>
      </c>
      <c r="M94" t="str">
        <f t="shared" si="18"/>
        <v>mr.</v>
      </c>
      <c r="N94" t="str">
        <f t="shared" si="19"/>
        <v>Mr. Ruth Yusuf  09062258856</v>
      </c>
      <c r="O94">
        <f t="shared" si="20"/>
        <v>2024</v>
      </c>
      <c r="P94">
        <f t="shared" si="21"/>
        <v>2</v>
      </c>
      <c r="Q94">
        <f t="shared" si="22"/>
        <v>19</v>
      </c>
      <c r="R94" s="4" t="str">
        <f t="shared" si="23"/>
        <v>February</v>
      </c>
      <c r="S94" t="str">
        <f t="shared" si="24"/>
        <v>Q1</v>
      </c>
      <c r="T94" t="str">
        <f t="shared" si="25"/>
        <v>Yes</v>
      </c>
      <c r="U94">
        <f t="shared" si="26"/>
        <v>117547.33500000001</v>
      </c>
      <c r="V94" t="str">
        <f t="shared" si="27"/>
        <v>Processed</v>
      </c>
      <c r="W94" t="str">
        <f t="shared" si="28"/>
        <v>Premium</v>
      </c>
      <c r="X94" t="str">
        <f t="shared" ca="1" si="29"/>
        <v>mr. Ruth (09062258856)</v>
      </c>
      <c r="Y94" t="str">
        <f t="shared" si="30"/>
        <v>Dear mr. Ruth Yusuf, your purchase of Washing Machine worth ₦ 117547.335 is Processed</v>
      </c>
    </row>
    <row r="95" spans="1:25" x14ac:dyDescent="0.25">
      <c r="A95" t="s">
        <v>98</v>
      </c>
      <c r="B95" s="3">
        <v>45537</v>
      </c>
      <c r="C95" t="s">
        <v>107</v>
      </c>
      <c r="D95" s="6">
        <v>134399</v>
      </c>
      <c r="E95" t="s">
        <v>117</v>
      </c>
      <c r="F95" t="s">
        <v>121</v>
      </c>
      <c r="G95" t="s">
        <v>136</v>
      </c>
      <c r="H95" t="s">
        <v>142</v>
      </c>
      <c r="I95" t="s">
        <v>163</v>
      </c>
      <c r="J95" t="str" cm="1">
        <f t="array" aca="1" ref="J95" ca="1">_xlfn.TEXTJOIN("", TRUE, IF(ISNUMBER(--MID(A95, ROW(INDIRECT("1:" &amp; LEN(A95))), 1)), MID(A95, ROW(INDIRECT("1:" &amp; LEN(A95))), 1), ""))</f>
        <v>09020748210</v>
      </c>
      <c r="K95" t="str">
        <f t="shared" si="16"/>
        <v>Mr. Funke Agbo – 09020748210</v>
      </c>
      <c r="L95" t="str">
        <f t="shared" si="17"/>
        <v>TOASTER</v>
      </c>
      <c r="M95" t="str">
        <f t="shared" si="18"/>
        <v>mr.</v>
      </c>
      <c r="N95" t="str">
        <f t="shared" si="19"/>
        <v>Mr. Funke Agbo  09020748210</v>
      </c>
      <c r="O95">
        <f t="shared" si="20"/>
        <v>2024</v>
      </c>
      <c r="P95">
        <f t="shared" si="21"/>
        <v>9</v>
      </c>
      <c r="Q95">
        <f t="shared" si="22"/>
        <v>2</v>
      </c>
      <c r="R95" s="4" t="str">
        <f t="shared" si="23"/>
        <v>September</v>
      </c>
      <c r="S95" t="str">
        <f t="shared" si="24"/>
        <v>Q3</v>
      </c>
      <c r="T95" t="str">
        <f t="shared" si="25"/>
        <v>Yes</v>
      </c>
      <c r="U95">
        <f t="shared" si="26"/>
        <v>134331.80050000001</v>
      </c>
      <c r="V95" t="str">
        <f t="shared" si="27"/>
        <v>Pending</v>
      </c>
      <c r="W95" t="str">
        <f t="shared" si="28"/>
        <v>Premium</v>
      </c>
      <c r="X95" t="str">
        <f t="shared" ca="1" si="29"/>
        <v>mr. Funke (09020748210)</v>
      </c>
      <c r="Y95" t="str">
        <f t="shared" si="30"/>
        <v>Dear mr. Funke Agbo, your purchase of Toaster worth ₦ 134331.8005 is Pending</v>
      </c>
    </row>
    <row r="96" spans="1:25" x14ac:dyDescent="0.25">
      <c r="A96" t="s">
        <v>99</v>
      </c>
      <c r="B96" s="3">
        <v>45563</v>
      </c>
      <c r="C96" t="s">
        <v>112</v>
      </c>
      <c r="D96" s="6">
        <v>100957</v>
      </c>
      <c r="E96" t="s">
        <v>115</v>
      </c>
      <c r="F96" t="s">
        <v>122</v>
      </c>
      <c r="G96" t="s">
        <v>123</v>
      </c>
      <c r="H96" t="s">
        <v>138</v>
      </c>
      <c r="I96" t="s">
        <v>160</v>
      </c>
      <c r="J96" t="str" cm="1">
        <f t="array" aca="1" ref="J96" ca="1">_xlfn.TEXTJOIN("", TRUE, IF(ISNUMBER(--MID(A96, ROW(INDIRECT("1:" &amp; LEN(A96))), 1)), MID(A96, ROW(INDIRECT("1:" &amp; LEN(A96))), 1), ""))</f>
        <v>07047116296</v>
      </c>
      <c r="K96" t="str">
        <f t="shared" si="16"/>
        <v>Mrs. Halima Balogun – 07047116296</v>
      </c>
      <c r="L96" t="str">
        <f t="shared" si="17"/>
        <v>CEILING FAN</v>
      </c>
      <c r="M96" t="str">
        <f t="shared" si="18"/>
        <v>mrs.</v>
      </c>
      <c r="N96" t="str">
        <f t="shared" si="19"/>
        <v>Mrs. Halima Balogun  07047116296</v>
      </c>
      <c r="O96">
        <f t="shared" si="20"/>
        <v>2024</v>
      </c>
      <c r="P96">
        <f t="shared" si="21"/>
        <v>9</v>
      </c>
      <c r="Q96">
        <f t="shared" si="22"/>
        <v>28</v>
      </c>
      <c r="R96" s="4" t="str">
        <f t="shared" si="23"/>
        <v>September</v>
      </c>
      <c r="S96" t="str">
        <f t="shared" si="24"/>
        <v>Q3</v>
      </c>
      <c r="T96" t="str">
        <f t="shared" si="25"/>
        <v>Yes</v>
      </c>
      <c r="U96">
        <f t="shared" si="26"/>
        <v>100856.04300000001</v>
      </c>
      <c r="V96" t="str">
        <f t="shared" si="27"/>
        <v>Processed</v>
      </c>
      <c r="W96" t="str">
        <f t="shared" si="28"/>
        <v>Premium</v>
      </c>
      <c r="X96" t="str">
        <f t="shared" ca="1" si="29"/>
        <v>mrs. Halima (07047116296)</v>
      </c>
      <c r="Y96" t="str">
        <f t="shared" si="30"/>
        <v>Dear mrs. Halima Balogun, your purchase of Ceiling Fan worth ₦ 100856.043 is Processed</v>
      </c>
    </row>
    <row r="97" spans="1:25" x14ac:dyDescent="0.25">
      <c r="A97" t="s">
        <v>100</v>
      </c>
      <c r="B97" s="3">
        <v>45530</v>
      </c>
      <c r="C97" t="s">
        <v>110</v>
      </c>
      <c r="D97" s="6">
        <v>164813</v>
      </c>
      <c r="E97" t="s">
        <v>117</v>
      </c>
      <c r="F97" t="s">
        <v>122</v>
      </c>
      <c r="G97" t="s">
        <v>123</v>
      </c>
      <c r="H97" t="s">
        <v>150</v>
      </c>
      <c r="I97" t="s">
        <v>127</v>
      </c>
      <c r="J97" t="str" cm="1">
        <f t="array" aca="1" ref="J97" ca="1">_xlfn.TEXTJOIN("", TRUE, IF(ISNUMBER(--MID(A97, ROW(INDIRECT("1:" &amp; LEN(A97))), 1)), MID(A97, ROW(INDIRECT("1:" &amp; LEN(A97))), 1), ""))</f>
        <v>08189640475</v>
      </c>
      <c r="K97" t="str">
        <f t="shared" si="16"/>
        <v>Mrs. Ada Ijeoma – 08189640475</v>
      </c>
      <c r="L97" t="str">
        <f t="shared" si="17"/>
        <v>BLENDER</v>
      </c>
      <c r="M97" t="str">
        <f t="shared" si="18"/>
        <v>mrs.</v>
      </c>
      <c r="N97" t="str">
        <f t="shared" si="19"/>
        <v>Mrs. Ada Ijeoma  08189640475</v>
      </c>
      <c r="O97">
        <f t="shared" si="20"/>
        <v>2024</v>
      </c>
      <c r="P97">
        <f t="shared" si="21"/>
        <v>8</v>
      </c>
      <c r="Q97">
        <f t="shared" si="22"/>
        <v>26</v>
      </c>
      <c r="R97" s="4" t="str">
        <f t="shared" si="23"/>
        <v>August</v>
      </c>
      <c r="S97" t="str">
        <f t="shared" si="24"/>
        <v>Q3</v>
      </c>
      <c r="T97" t="str">
        <f t="shared" si="25"/>
        <v>Yes</v>
      </c>
      <c r="U97">
        <f t="shared" si="26"/>
        <v>164730.59349999999</v>
      </c>
      <c r="V97" t="str">
        <f t="shared" si="27"/>
        <v>Processed</v>
      </c>
      <c r="W97" t="str">
        <f t="shared" si="28"/>
        <v>Premium</v>
      </c>
      <c r="X97" t="str">
        <f t="shared" ca="1" si="29"/>
        <v>mrs. Ada (08189640475)</v>
      </c>
      <c r="Y97" t="str">
        <f t="shared" si="30"/>
        <v>Dear mrs. Ada Ijeoma, your purchase of Blender worth ₦ 164730.5935 is Processed</v>
      </c>
    </row>
    <row r="98" spans="1:25" x14ac:dyDescent="0.25">
      <c r="A98" t="s">
        <v>101</v>
      </c>
      <c r="B98" s="3">
        <v>45624</v>
      </c>
      <c r="C98" t="s">
        <v>106</v>
      </c>
      <c r="D98" s="6">
        <v>56852</v>
      </c>
      <c r="E98" t="s">
        <v>117</v>
      </c>
      <c r="F98" t="s">
        <v>122</v>
      </c>
      <c r="G98" t="s">
        <v>136</v>
      </c>
      <c r="H98" t="s">
        <v>141</v>
      </c>
      <c r="I98" t="s">
        <v>163</v>
      </c>
      <c r="J98" t="str" cm="1">
        <f t="array" aca="1" ref="J98" ca="1">_xlfn.TEXTJOIN("", TRUE, IF(ISNUMBER(--MID(A98, ROW(INDIRECT("1:" &amp; LEN(A98))), 1)), MID(A98, ROW(INDIRECT("1:" &amp; LEN(A98))), 1), ""))</f>
        <v>08029518580</v>
      </c>
      <c r="K98" t="str">
        <f t="shared" si="16"/>
        <v>Mr. Joseph Agbo – 08029518580</v>
      </c>
      <c r="L98" t="str">
        <f t="shared" si="17"/>
        <v>WASHING MACHINE</v>
      </c>
      <c r="M98" t="str">
        <f t="shared" si="18"/>
        <v>mr.</v>
      </c>
      <c r="N98" t="str">
        <f t="shared" si="19"/>
        <v>Mr. Joseph Agbo  08029518580</v>
      </c>
      <c r="O98">
        <f t="shared" si="20"/>
        <v>2024</v>
      </c>
      <c r="P98">
        <f t="shared" si="21"/>
        <v>11</v>
      </c>
      <c r="Q98">
        <f t="shared" si="22"/>
        <v>28</v>
      </c>
      <c r="R98" s="4" t="str">
        <f t="shared" si="23"/>
        <v>November</v>
      </c>
      <c r="S98" t="str">
        <f t="shared" si="24"/>
        <v>Q4</v>
      </c>
      <c r="T98" t="str">
        <f t="shared" si="25"/>
        <v>Yes</v>
      </c>
      <c r="U98">
        <f t="shared" si="26"/>
        <v>56823.574000000001</v>
      </c>
      <c r="V98" t="str">
        <f t="shared" si="27"/>
        <v>Processed</v>
      </c>
      <c r="W98" t="str">
        <f t="shared" si="28"/>
        <v>Premium</v>
      </c>
      <c r="X98" t="str">
        <f t="shared" ca="1" si="29"/>
        <v>mr. Joseph (08029518580)</v>
      </c>
      <c r="Y98" t="str">
        <f t="shared" si="30"/>
        <v>Dear mr. Joseph Agbo, your purchase of Washing Machine worth ₦ 56823.574 is Processed</v>
      </c>
    </row>
    <row r="99" spans="1:25" x14ac:dyDescent="0.25">
      <c r="A99" t="s">
        <v>102</v>
      </c>
      <c r="B99" s="3">
        <v>45474</v>
      </c>
      <c r="C99" t="s">
        <v>111</v>
      </c>
      <c r="D99" s="6">
        <v>54832</v>
      </c>
      <c r="E99" t="s">
        <v>119</v>
      </c>
      <c r="F99" t="s">
        <v>122</v>
      </c>
      <c r="G99" t="s">
        <v>126</v>
      </c>
      <c r="H99" t="s">
        <v>128</v>
      </c>
      <c r="I99" t="s">
        <v>125</v>
      </c>
      <c r="J99" t="str" cm="1">
        <f t="array" aca="1" ref="J99" ca="1">_xlfn.TEXTJOIN("", TRUE, IF(ISNUMBER(--MID(A99, ROW(INDIRECT("1:" &amp; LEN(A99))), 1)), MID(A99, ROW(INDIRECT("1:" &amp; LEN(A99))), 1), ""))</f>
        <v>08004500962</v>
      </c>
      <c r="K99" t="str">
        <f t="shared" si="16"/>
        <v>Miss. Peter Lawal – 08004500962</v>
      </c>
      <c r="L99" t="str">
        <f t="shared" si="17"/>
        <v>GAS COOKER</v>
      </c>
      <c r="M99" t="str">
        <f t="shared" si="18"/>
        <v>miss.</v>
      </c>
      <c r="N99" t="str">
        <f t="shared" si="19"/>
        <v>Miss. Peter Lawal  08004500962</v>
      </c>
      <c r="O99">
        <f t="shared" si="20"/>
        <v>2024</v>
      </c>
      <c r="P99">
        <f t="shared" si="21"/>
        <v>7</v>
      </c>
      <c r="Q99">
        <f t="shared" si="22"/>
        <v>1</v>
      </c>
      <c r="R99" s="4" t="str">
        <f t="shared" si="23"/>
        <v>July</v>
      </c>
      <c r="S99" t="str">
        <f t="shared" si="24"/>
        <v>Q3</v>
      </c>
      <c r="T99" t="str">
        <f t="shared" si="25"/>
        <v>Yes</v>
      </c>
      <c r="U99">
        <f t="shared" si="26"/>
        <v>54749.752</v>
      </c>
      <c r="V99" t="str">
        <f t="shared" si="27"/>
        <v>Processed</v>
      </c>
      <c r="W99" t="str">
        <f t="shared" si="28"/>
        <v>Premium</v>
      </c>
      <c r="X99" t="str">
        <f t="shared" ca="1" si="29"/>
        <v>miss. Peter (08004500962)</v>
      </c>
      <c r="Y99" t="str">
        <f t="shared" si="30"/>
        <v>Dear miss. Peter Lawal, your purchase of Gas Cooker worth ₦ 54749.752 is Processed</v>
      </c>
    </row>
    <row r="100" spans="1:25" x14ac:dyDescent="0.25">
      <c r="A100" t="s">
        <v>103</v>
      </c>
      <c r="B100" s="3">
        <v>45580</v>
      </c>
      <c r="C100" t="s">
        <v>108</v>
      </c>
      <c r="D100" s="6">
        <v>199833</v>
      </c>
      <c r="E100" t="s">
        <v>117</v>
      </c>
      <c r="F100" t="s">
        <v>120</v>
      </c>
      <c r="G100" t="s">
        <v>136</v>
      </c>
      <c r="H100" t="s">
        <v>144</v>
      </c>
      <c r="I100" t="s">
        <v>127</v>
      </c>
      <c r="J100" t="str" cm="1">
        <f t="array" aca="1" ref="J100" ca="1">_xlfn.TEXTJOIN("", TRUE, IF(ISNUMBER(--MID(A100, ROW(INDIRECT("1:" &amp; LEN(A100))), 1)), MID(A100, ROW(INDIRECT("1:" &amp; LEN(A100))), 1), ""))</f>
        <v>08073663964</v>
      </c>
      <c r="K100" t="str">
        <f t="shared" si="16"/>
        <v>Mr. Hassan Ijeoma – 08073663964</v>
      </c>
      <c r="L100" t="str">
        <f t="shared" si="17"/>
        <v>MICROWAVE</v>
      </c>
      <c r="M100" t="str">
        <f t="shared" si="18"/>
        <v>mr.</v>
      </c>
      <c r="N100" t="str">
        <f t="shared" si="19"/>
        <v>Mr. Hassan Ijeoma  08073663964</v>
      </c>
      <c r="O100">
        <f t="shared" si="20"/>
        <v>2024</v>
      </c>
      <c r="P100">
        <f t="shared" si="21"/>
        <v>10</v>
      </c>
      <c r="Q100">
        <f t="shared" si="22"/>
        <v>15</v>
      </c>
      <c r="R100" s="4" t="str">
        <f t="shared" si="23"/>
        <v>October</v>
      </c>
      <c r="S100" t="str">
        <f t="shared" si="24"/>
        <v>Q4</v>
      </c>
      <c r="T100" t="str">
        <f t="shared" si="25"/>
        <v>Yes</v>
      </c>
      <c r="U100">
        <f t="shared" si="26"/>
        <v>199733.08350000001</v>
      </c>
      <c r="V100" t="str">
        <f t="shared" si="27"/>
        <v>Processed</v>
      </c>
      <c r="W100" t="str">
        <f t="shared" si="28"/>
        <v>Premium</v>
      </c>
      <c r="X100" t="str">
        <f t="shared" ca="1" si="29"/>
        <v>mr. Hassan (08073663964)</v>
      </c>
      <c r="Y100" t="str">
        <f t="shared" si="30"/>
        <v>Dear mr. Hassan Ijeoma, your purchase of Microwave worth ₦ 199733.0835 is Processed</v>
      </c>
    </row>
    <row r="101" spans="1:25" x14ac:dyDescent="0.25">
      <c r="A101" t="s">
        <v>104</v>
      </c>
      <c r="B101" s="3">
        <v>45437</v>
      </c>
      <c r="C101" t="s">
        <v>114</v>
      </c>
      <c r="D101" s="6">
        <v>59713</v>
      </c>
      <c r="E101" t="s">
        <v>119</v>
      </c>
      <c r="F101" t="s">
        <v>121</v>
      </c>
      <c r="G101" t="s">
        <v>123</v>
      </c>
      <c r="H101" t="s">
        <v>157</v>
      </c>
      <c r="I101" t="s">
        <v>139</v>
      </c>
      <c r="J101" t="str" cm="1">
        <f t="array" aca="1" ref="J101" ca="1">_xlfn.TEXTJOIN("", TRUE, IF(ISNUMBER(--MID(A101, ROW(INDIRECT("1:" &amp; LEN(A101))), 1)), MID(A101, ROW(INDIRECT("1:" &amp; LEN(A101))), 1), ""))</f>
        <v>08005383180</v>
      </c>
      <c r="K101" t="str">
        <f t="shared" si="16"/>
        <v>Mrs. Bola Yusuf – 08005383180</v>
      </c>
      <c r="L101" t="str">
        <f t="shared" si="17"/>
        <v>REFRIGERATOR</v>
      </c>
      <c r="M101" t="str">
        <f t="shared" si="18"/>
        <v>mrs.</v>
      </c>
      <c r="N101" t="str">
        <f t="shared" si="19"/>
        <v>Mrs. Bola Yusuf  08005383180</v>
      </c>
      <c r="O101">
        <f>YEAR(B101)</f>
        <v>2024</v>
      </c>
      <c r="P101">
        <f t="shared" si="21"/>
        <v>5</v>
      </c>
      <c r="Q101">
        <f t="shared" si="22"/>
        <v>25</v>
      </c>
      <c r="R101" s="4" t="str">
        <f t="shared" si="23"/>
        <v>May</v>
      </c>
      <c r="S101" t="str">
        <f t="shared" si="24"/>
        <v>Q2</v>
      </c>
      <c r="T101" t="str">
        <f t="shared" si="25"/>
        <v>Yes</v>
      </c>
      <c r="U101">
        <f t="shared" si="26"/>
        <v>59623.430500000002</v>
      </c>
      <c r="V101" t="str">
        <f t="shared" si="27"/>
        <v>Pending</v>
      </c>
      <c r="W101" t="str">
        <f t="shared" si="28"/>
        <v>Premium</v>
      </c>
      <c r="X101" t="str">
        <f t="shared" ca="1" si="29"/>
        <v>mrs. Bola (08005383180)</v>
      </c>
      <c r="Y101" t="str">
        <f t="shared" si="30"/>
        <v>Dear mrs. Bola Yusuf, your purchase of Refrigerator worth ₦ 59623.4305 is Pending</v>
      </c>
    </row>
    <row r="102" spans="1:25" x14ac:dyDescent="0.25">
      <c r="J102" t="str" cm="1">
        <f t="array" aca="1" ref="J102" ca="1">_xlfn.TEXTJOIN("", TRUE, IF(ISNUMBER(--MID(A102, ROW(INDIRECT("1:" &amp; LEN(A102))), 1)), MID(A102, ROW(INDIRECT("1:" &amp; LEN(A102))), 1), ""))</f>
        <v/>
      </c>
      <c r="K102" t="str">
        <f t="shared" si="16"/>
        <v/>
      </c>
      <c r="L102" t="str">
        <f t="shared" si="17"/>
        <v/>
      </c>
      <c r="M102" t="str">
        <f t="shared" si="18"/>
        <v/>
      </c>
      <c r="N102" t="str">
        <f t="shared" si="19"/>
        <v/>
      </c>
    </row>
    <row r="103" spans="1:25" x14ac:dyDescent="0.25">
      <c r="J103" t="str" cm="1">
        <f t="array" aca="1" ref="J103" ca="1">_xlfn.TEXTJOIN("", TRUE, IF(ISNUMBER(--MID(A103, ROW(INDIRECT("1:" &amp; LEN(A103))), 1)), MID(A103, ROW(INDIRECT("1:" &amp; LEN(A103))), 1), ""))</f>
        <v/>
      </c>
      <c r="K103" t="str">
        <f t="shared" si="16"/>
        <v/>
      </c>
      <c r="L103" t="str">
        <f t="shared" si="17"/>
        <v/>
      </c>
      <c r="M103" t="str">
        <f t="shared" si="18"/>
        <v/>
      </c>
      <c r="N103" t="str">
        <f t="shared" si="19"/>
        <v/>
      </c>
    </row>
    <row r="104" spans="1:25" x14ac:dyDescent="0.25">
      <c r="K104" t="str">
        <f t="shared" si="16"/>
        <v/>
      </c>
      <c r="L104" t="str">
        <f t="shared" si="17"/>
        <v/>
      </c>
      <c r="M104" t="str">
        <f t="shared" si="18"/>
        <v/>
      </c>
      <c r="N104" t="str">
        <f t="shared" si="19"/>
        <v/>
      </c>
    </row>
    <row r="105" spans="1:25" x14ac:dyDescent="0.25">
      <c r="K105" t="str">
        <f t="shared" si="16"/>
        <v/>
      </c>
      <c r="L105" t="str">
        <f t="shared" si="17"/>
        <v/>
      </c>
      <c r="M105" t="str">
        <f t="shared" si="18"/>
        <v/>
      </c>
      <c r="N105" t="str">
        <f t="shared" si="19"/>
        <v/>
      </c>
    </row>
    <row r="106" spans="1:25" x14ac:dyDescent="0.25">
      <c r="K106" t="str">
        <f t="shared" si="16"/>
        <v/>
      </c>
      <c r="L106" t="str">
        <f t="shared" si="17"/>
        <v/>
      </c>
      <c r="M106" t="str">
        <f t="shared" si="18"/>
        <v/>
      </c>
      <c r="N106" t="str">
        <f t="shared" si="19"/>
        <v/>
      </c>
    </row>
    <row r="107" spans="1:25" x14ac:dyDescent="0.25">
      <c r="K107" t="str">
        <f t="shared" si="16"/>
        <v/>
      </c>
      <c r="L107" t="str">
        <f t="shared" si="17"/>
        <v/>
      </c>
      <c r="M107" t="str">
        <f t="shared" si="18"/>
        <v/>
      </c>
      <c r="N107" t="str">
        <f t="shared" si="19"/>
        <v/>
      </c>
    </row>
    <row r="108" spans="1:25" x14ac:dyDescent="0.25">
      <c r="N108" t="str">
        <f t="shared" si="1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Orji Fedora</cp:lastModifiedBy>
  <dcterms:created xsi:type="dcterms:W3CDTF">2025-10-28T12:28:28Z</dcterms:created>
  <dcterms:modified xsi:type="dcterms:W3CDTF">2025-10-31T09:35:14Z</dcterms:modified>
</cp:coreProperties>
</file>